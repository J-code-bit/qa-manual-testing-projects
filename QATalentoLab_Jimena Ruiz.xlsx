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ytelling" sheetId="1" r:id="rId5"/>
    <sheet state="visible" name="Requerimientos de entrada" sheetId="2" r:id="rId6"/>
    <sheet state="visible" name="Test Sets" sheetId="3" r:id="rId7"/>
    <sheet state="visible" name="Metodologías" sheetId="4" r:id="rId8"/>
    <sheet state="visible" name="Bug Report" sheetId="5" r:id="rId9"/>
    <sheet state="visible" name="Cobertura de pruebas" sheetId="6" r:id="rId10"/>
    <sheet state="visible" name="Reporte de ciclo de prueba" sheetId="7" r:id="rId11"/>
  </sheets>
  <definedNames/>
  <calcPr/>
</workbook>
</file>

<file path=xl/sharedStrings.xml><?xml version="1.0" encoding="utf-8"?>
<sst xmlns="http://schemas.openxmlformats.org/spreadsheetml/2006/main" count="196" uniqueCount="178">
  <si>
    <t>TEST SETS (SPRINT #1)</t>
  </si>
  <si>
    <t>STORYTELLING 1</t>
  </si>
  <si>
    <t>REQUERIMIENTOS DE ENTRADA (SPRINT #1)</t>
  </si>
  <si>
    <t>Metodología</t>
  </si>
  <si>
    <r>
      <rPr>
        <rFont val="Arial"/>
        <b/>
        <color theme="1"/>
        <sz val="14.0"/>
      </rPr>
      <t>Mateo busca su próximo desafío</t>
    </r>
    <r>
      <rPr>
        <rFont val="Arial"/>
        <color theme="1"/>
        <sz val="14.0"/>
      </rPr>
      <t xml:space="preserve"> 
Mateo es un analista de calidad que busca nuevas oportunidades en el sector IT. Ingresa a la sección de "Ofertas" de la web para explorar las vacantes disponibles. Utiliza los filtros de búsqueda para encontrar posiciones de Tester QA, lee los requisitos detallados de una propuesta que le interesa y, al verificar que coincide con su perfil, decide iniciar su postulación para que el equipo de reclutamiento evalúe sus competencias.</t>
    </r>
  </si>
  <si>
    <t>¿Por qué?</t>
  </si>
  <si>
    <t>Ventajas</t>
  </si>
  <si>
    <t>Desventajas</t>
  </si>
  <si>
    <t>Épicas</t>
  </si>
  <si>
    <t>Features</t>
  </si>
  <si>
    <t>STORYTELLING 2</t>
  </si>
  <si>
    <t>Agile</t>
  </si>
  <si>
    <t>User stories</t>
  </si>
  <si>
    <t>Funcionalidad</t>
  </si>
  <si>
    <t>Las pruebas comienzan durante el proceso del sprint para detectar errores a tiempo y organizar y priorizar los casos de prueba de acuerdo a las funcionalidades.</t>
  </si>
  <si>
    <r>
      <rPr>
        <rFont val="Arial"/>
        <b/>
        <color theme="1"/>
        <sz val="14.0"/>
      </rPr>
      <t>Valeria impulsa el crecimiento de su empresa</t>
    </r>
    <r>
      <rPr>
        <rFont val="Arial"/>
        <color theme="1"/>
        <sz val="14.0"/>
      </rPr>
      <t xml:space="preserve"> 
Valeria, responsable de Recursos Humanos, necesita contratar perfiles tecnológicos altamente especializados para su equipo. Tras leer los testimonios positivos de otros clientes, se dirige a la sección de "Contacto". Allí, completa el formulario con los datos de su empresa y selecciona el servicio de Headhunting para solicitar asesoramiento personalizado, haciendo clic en "Enviar" para que un consultor experto se comunique con ella a la brevedad.</t>
    </r>
  </si>
  <si>
    <t xml:space="preserve">CA (Criterios de aceptación) </t>
  </si>
  <si>
    <t>Escenario de prueba</t>
  </si>
  <si>
    <t>Funcionales</t>
  </si>
  <si>
    <t>No funcionales</t>
  </si>
  <si>
    <t>-Se detectan errores y reduce costos.
-Es colaborativo.Mejora la comunicación entre testers y desarrolladores.
-Se garantiza que cada incremento del producto sea funcional al final del spint.</t>
  </si>
  <si>
    <t>Pasos de ejecución</t>
  </si>
  <si>
    <t>Manejo de error (Error handling)</t>
  </si>
  <si>
    <t>Resultado esperado</t>
  </si>
  <si>
    <t>-Es incierto. 
-Los resultados dependen del equipo.
-A veces no se anota.</t>
  </si>
  <si>
    <t>Resultado obtenido</t>
  </si>
  <si>
    <r>
      <rPr>
        <rFont val="Arial"/>
        <b/>
        <color theme="1"/>
        <sz val="12.0"/>
      </rPr>
      <t xml:space="preserve">E1 - </t>
    </r>
    <r>
      <rPr>
        <rFont val="Arial"/>
        <color theme="1"/>
        <sz val="12.0"/>
      </rPr>
      <t>Búsqueda y Aplicación a Ofertas Laborales</t>
    </r>
  </si>
  <si>
    <t>Waterfall</t>
  </si>
  <si>
    <t>Esta metodología conviene aplicarla cuando se requiera hacerlo de manera más estructurada en procesos que sabemos de antemano que no difieren de otros sprints, y se necesite sefuir un paso a paso para mejor organización.</t>
  </si>
  <si>
    <r>
      <rPr>
        <rFont val="Arial"/>
        <b/>
        <color theme="1"/>
        <sz val="12.0"/>
      </rPr>
      <t xml:space="preserve">F1 - </t>
    </r>
    <r>
      <rPr>
        <rFont val="Arial"/>
        <b val="0"/>
        <color theme="1"/>
        <sz val="12.0"/>
      </rPr>
      <t>Filtros de Búsqueda</t>
    </r>
  </si>
  <si>
    <r>
      <rPr>
        <rFont val="Arial"/>
        <b/>
        <color theme="1"/>
        <sz val="12.0"/>
      </rPr>
      <t xml:space="preserve">F1 - </t>
    </r>
    <r>
      <rPr>
        <rFont val="Arial"/>
        <b val="0"/>
        <color theme="1"/>
        <sz val="12.0"/>
      </rPr>
      <t>Sistema de Filtros de Búsqueda</t>
    </r>
  </si>
  <si>
    <t>-Es claro. Se sabe que hay qué hacer en cada momento.
-Se tiene el control, se puede seguir el paso a paso en todo momento.
-Queda todo anotado.</t>
  </si>
  <si>
    <t>Filtrar por categoría tecnológica específica.</t>
  </si>
  <si>
    <t>-Si se encuentran errores al final, no hay suficiente tiempo para corregirlos.
-Puede generar estrés en el equipo de QA y retrasos en la entrega del producto.</t>
  </si>
  <si>
    <t>1. Ingresar a la sección "Ofertas".
2. Seleccionar la opción "QA Manual" en el filtro.
3. Hacer clic en el botón "Buscar" o enter.</t>
  </si>
  <si>
    <r>
      <rPr>
        <rFont val="Arial"/>
        <b/>
        <color theme="1"/>
        <sz val="12.0"/>
      </rPr>
      <t xml:space="preserve">US1 - Como </t>
    </r>
    <r>
      <rPr>
        <rFont val="Arial"/>
        <b val="0"/>
        <color theme="1"/>
        <sz val="12.0"/>
      </rPr>
      <t xml:space="preserve">candidato, </t>
    </r>
    <r>
      <rPr>
        <rFont val="Arial"/>
        <b/>
        <color theme="1"/>
        <sz val="12.0"/>
      </rPr>
      <t xml:space="preserve">quiero </t>
    </r>
    <r>
      <rPr>
        <rFont val="Arial"/>
        <b val="0"/>
        <color theme="1"/>
        <sz val="12.0"/>
      </rPr>
      <t xml:space="preserve">filtrar las ofertas por área tecnológica </t>
    </r>
    <r>
      <rPr>
        <rFont val="Arial"/>
        <b/>
        <color theme="1"/>
        <sz val="12.0"/>
      </rPr>
      <t xml:space="preserve">para </t>
    </r>
    <r>
      <rPr>
        <rFont val="Arial"/>
        <b val="0"/>
        <color theme="1"/>
        <sz val="12.0"/>
      </rPr>
      <t xml:space="preserve">encontrar rápidamente puestos que coincidan con mi perfil profesional.
</t>
    </r>
    <r>
      <rPr>
        <rFont val="Arial"/>
        <b/>
        <color theme="1"/>
        <sz val="12.0"/>
      </rPr>
      <t xml:space="preserve">US1.1 - Como </t>
    </r>
    <r>
      <rPr>
        <rFont val="Arial"/>
        <b val="0"/>
        <color theme="1"/>
        <sz val="12.0"/>
      </rPr>
      <t xml:space="preserve">candidato, </t>
    </r>
    <r>
      <rPr>
        <rFont val="Arial"/>
        <b/>
        <color theme="1"/>
        <sz val="12.0"/>
      </rPr>
      <t xml:space="preserve">quiero </t>
    </r>
    <r>
      <rPr>
        <rFont val="Arial"/>
        <b val="0"/>
        <color theme="1"/>
        <sz val="12.0"/>
      </rPr>
      <t xml:space="preserve">poder limpiar los filtros aplicados </t>
    </r>
    <r>
      <rPr>
        <rFont val="Arial"/>
        <b/>
        <color theme="1"/>
        <sz val="12.0"/>
      </rPr>
      <t xml:space="preserve">para </t>
    </r>
    <r>
      <rPr>
        <rFont val="Arial"/>
        <b val="0"/>
        <color theme="1"/>
        <sz val="12.0"/>
      </rPr>
      <t>volver a visualizar la lista completa de vacantes disponibles sin recargar la página.</t>
    </r>
  </si>
  <si>
    <t>El sistema filtra la lista y muestra únicamente las vacantes etiquetadas como "QA Manual" en menos de 1.5 segundos.</t>
  </si>
  <si>
    <t>En este proyecto se trabajó con la metodología ágil porque nos permitió ir modificando la base a medida que se avanzaba en el proceso.</t>
  </si>
  <si>
    <r>
      <rPr>
        <rFont val="Arial"/>
        <b/>
        <color theme="1"/>
        <sz val="12.0"/>
      </rPr>
      <t xml:space="preserve">Dado </t>
    </r>
    <r>
      <rPr>
        <rFont val="Arial"/>
        <color theme="1"/>
        <sz val="12.0"/>
      </rPr>
      <t xml:space="preserve">que me encuentro en la sección de "Ofertas", </t>
    </r>
    <r>
      <rPr>
        <rFont val="Arial"/>
        <b/>
        <color theme="1"/>
        <sz val="12.0"/>
      </rPr>
      <t xml:space="preserve">cuando </t>
    </r>
    <r>
      <rPr>
        <rFont val="Arial"/>
        <color theme="1"/>
        <sz val="12.0"/>
      </rPr>
      <t xml:space="preserve">selecciono la categoría "QA Manual" en el menú desplegable y presiono el botón "Buscar", </t>
    </r>
    <r>
      <rPr>
        <rFont val="Arial"/>
        <b/>
        <color theme="1"/>
        <sz val="12.0"/>
      </rPr>
      <t xml:space="preserve">entonces </t>
    </r>
    <r>
      <rPr>
        <rFont val="Arial"/>
        <color theme="1"/>
        <sz val="12.0"/>
      </rPr>
      <t>el sistema filtra la lista y muestra únicamente las vacantes que contienen dicha etiqueta.</t>
    </r>
  </si>
  <si>
    <r>
      <rPr>
        <rFont val="Arial"/>
        <color theme="1"/>
        <sz val="12.0"/>
      </rPr>
      <t>Si, lo cumple correctamente</t>
    </r>
    <r>
      <rPr>
        <rFont val="Arial"/>
        <color theme="1"/>
      </rPr>
      <t>.</t>
    </r>
  </si>
  <si>
    <r>
      <rPr>
        <rFont val="Arial"/>
        <b/>
        <color theme="1"/>
        <sz val="12.0"/>
      </rPr>
      <t>RF1 -</t>
    </r>
    <r>
      <rPr>
        <rFont val="Arial"/>
        <color theme="1"/>
        <sz val="12.0"/>
      </rPr>
      <t xml:space="preserve"> El sistema debe actualizar la lista de resultados de forma dinámica sin necesidad de recargar toda la página.
</t>
    </r>
    <r>
      <rPr>
        <rFont val="Arial"/>
        <b/>
        <color theme="1"/>
        <sz val="12.0"/>
      </rPr>
      <t>RF1.1-</t>
    </r>
    <r>
      <rPr>
        <rFont val="Arial"/>
        <color theme="1"/>
        <sz val="12.0"/>
      </rPr>
      <t xml:space="preserve"> Debe existir un botón de "Limpiar Filtros" que restablezca la vista a la lista completa original de vacantes.</t>
    </r>
  </si>
  <si>
    <r>
      <rPr>
        <rFont val="Arial"/>
        <b/>
        <color theme="1"/>
        <sz val="12.0"/>
      </rPr>
      <t>F2 -</t>
    </r>
    <r>
      <rPr>
        <rFont val="Arial"/>
        <color theme="1"/>
        <sz val="12.0"/>
      </rPr>
      <t xml:space="preserve"> Postulación a empleos</t>
    </r>
  </si>
  <si>
    <r>
      <rPr>
        <rFont val="Arial"/>
        <b/>
        <color theme="1"/>
        <sz val="12.0"/>
      </rPr>
      <t>RNF1-</t>
    </r>
    <r>
      <rPr>
        <rFont val="Arial"/>
        <color theme="1"/>
        <sz val="12.0"/>
      </rPr>
      <t xml:space="preserve"> El tiempo de procesamiento del filtrado no debe superar los 1.5 segundos para garantizar fluidez.
</t>
    </r>
    <r>
      <rPr>
        <rFont val="Arial"/>
        <b/>
        <color theme="1"/>
        <sz val="12.0"/>
      </rPr>
      <t>RNF1.1-</t>
    </r>
    <r>
      <rPr>
        <rFont val="Arial"/>
        <color theme="1"/>
        <sz val="12.0"/>
      </rPr>
      <t xml:space="preserve"> Los elementos del menú de filtros deben ser accesibles mediante navegación por teclado (tecla tab).</t>
    </r>
  </si>
  <si>
    <t>Intentar postularse sin haber cargado el CV previamente.</t>
  </si>
  <si>
    <r>
      <rPr>
        <rFont val="Arial"/>
        <color theme="1"/>
        <sz val="12.0"/>
      </rPr>
      <t>Si el usuario aplica filtros que no arrojan resultados, el sistema debe mostrar el mensaje: "No se encontraron ofertas que coincidan con tu búsqueda. Intenta con otros términos"</t>
    </r>
    <r>
      <rPr>
        <rFont val="Arial"/>
        <color theme="1"/>
        <sz val="14.0"/>
      </rPr>
      <t xml:space="preserve">
</t>
    </r>
  </si>
  <si>
    <t>1. Ingresar al detalle de una vacante activa.
2. Localizar el botón "Postularse".
3. Verificar si el botón permite la acción sin carga de archivo previa.</t>
  </si>
  <si>
    <t>El botón "Postularse" debe estar deshabilitado o, al hacer clic, mostrar un mensaje indicando que es obligatorio cargar un CV primero.</t>
  </si>
  <si>
    <t xml:space="preserve">El botón "Postularse" se encuentra habilitado, se cliquea y envía a pagina de registro. </t>
  </si>
  <si>
    <r>
      <rPr>
        <rFont val="Arial"/>
        <b/>
        <color theme="1"/>
        <sz val="12.0"/>
      </rPr>
      <t>F3 -</t>
    </r>
    <r>
      <rPr>
        <rFont val="Arial"/>
        <color theme="1"/>
        <sz val="12.0"/>
      </rPr>
      <t xml:space="preserve"> Formulario de contacto</t>
    </r>
  </si>
  <si>
    <r>
      <rPr>
        <rFont val="Arial"/>
        <b/>
        <color theme="1"/>
        <sz val="12.0"/>
      </rPr>
      <t xml:space="preserve">F2- </t>
    </r>
    <r>
      <rPr>
        <rFont val="Arial"/>
        <b val="0"/>
        <color theme="1"/>
        <sz val="12.0"/>
      </rPr>
      <t>Detalle de Vacante y Postulación</t>
    </r>
  </si>
  <si>
    <t>Validar el formato de correo electrónico corporativo.</t>
  </si>
  <si>
    <t>1. Ir a la sección "Contacto".
2. Completar nombre y empresa.
3. Ingresar un correo inválido (ej: "usuario@sin_dominio").
4. Hacer clic en "Enviar".</t>
  </si>
  <si>
    <t>El sistema resalta el campo de email en rojo y muestra un mensaje de error: "Por favor, ingrese un correo electrónico válido".</t>
  </si>
  <si>
    <t>El sistema no resalta en rojo el error pero muestra mensaje.</t>
  </si>
  <si>
    <r>
      <rPr>
        <rFont val="Arial"/>
        <b/>
        <color theme="1"/>
        <sz val="12.0"/>
      </rPr>
      <t>F4 -</t>
    </r>
    <r>
      <rPr>
        <rFont val="Arial"/>
        <color theme="1"/>
        <sz val="12.0"/>
      </rPr>
      <t xml:space="preserve"> Selección de servicios</t>
    </r>
  </si>
  <si>
    <r>
      <rPr>
        <rFont val="Arial"/>
        <b/>
        <color theme="1"/>
        <sz val="12.0"/>
      </rPr>
      <t xml:space="preserve">US2 - Como </t>
    </r>
    <r>
      <rPr>
        <rFont val="Arial"/>
        <b val="0"/>
        <color theme="1"/>
        <sz val="12.0"/>
      </rPr>
      <t xml:space="preserve">candidato, </t>
    </r>
    <r>
      <rPr>
        <rFont val="Arial"/>
        <b/>
        <color theme="1"/>
        <sz val="12.0"/>
      </rPr>
      <t xml:space="preserve">quiero </t>
    </r>
    <r>
      <rPr>
        <rFont val="Arial"/>
        <b val="0"/>
        <color theme="1"/>
        <sz val="12.0"/>
      </rPr>
      <t xml:space="preserve">ver la descripción detallada y los beneficios de una oferta </t>
    </r>
    <r>
      <rPr>
        <rFont val="Arial"/>
        <b/>
        <color theme="1"/>
        <sz val="12.0"/>
      </rPr>
      <t xml:space="preserve">para </t>
    </r>
    <r>
      <rPr>
        <rFont val="Arial"/>
        <b val="0"/>
        <color theme="1"/>
        <sz val="12.0"/>
      </rPr>
      <t xml:space="preserve">decidir si mi perfil es apto antes de postularme.
</t>
    </r>
    <r>
      <rPr>
        <rFont val="Arial"/>
        <b/>
        <color theme="1"/>
        <sz val="12.0"/>
      </rPr>
      <t xml:space="preserve">
US2.1 - Como </t>
    </r>
    <r>
      <rPr>
        <rFont val="Arial"/>
        <b val="0"/>
        <color theme="1"/>
        <sz val="12.0"/>
      </rPr>
      <t xml:space="preserve">candidato, </t>
    </r>
    <r>
      <rPr>
        <rFont val="Arial"/>
        <b/>
        <color theme="1"/>
        <sz val="12.0"/>
      </rPr>
      <t xml:space="preserve">quiero </t>
    </r>
    <r>
      <rPr>
        <rFont val="Arial"/>
        <b val="0"/>
        <color theme="1"/>
        <sz val="12.0"/>
      </rPr>
      <t xml:space="preserve">tener un botón de "Postularse" visible en cada oferta </t>
    </r>
    <r>
      <rPr>
        <rFont val="Arial"/>
        <b/>
        <color theme="1"/>
        <sz val="12.0"/>
      </rPr>
      <t xml:space="preserve">para </t>
    </r>
    <r>
      <rPr>
        <rFont val="Arial"/>
        <b val="0"/>
        <color theme="1"/>
        <sz val="12.0"/>
      </rPr>
      <t>enviar mi interés de manera directa al equipo de selección.</t>
    </r>
  </si>
  <si>
    <t>Seleccionar de manera múltiple los servicios especializados de consultoría.</t>
  </si>
  <si>
    <t>1. Situarse en el formulario de contacto para empresas.
2. Marcar los checkboxes de "Headhunting" y "Evaluación de Candidatos".
3. Verificar la selección.</t>
  </si>
  <si>
    <t>El sistema debe permitir la selección de ambos servicios simultáneamente y mostrar los tooltips descriptivos al pasar el mouse por cada opción.</t>
  </si>
  <si>
    <t>-</t>
  </si>
  <si>
    <r>
      <rPr>
        <rFont val="Arial"/>
        <b/>
        <color theme="1"/>
        <sz val="12.0"/>
      </rPr>
      <t xml:space="preserve">Dado </t>
    </r>
    <r>
      <rPr>
        <rFont val="Arial"/>
        <color theme="1"/>
        <sz val="12.0"/>
      </rPr>
      <t xml:space="preserve">que visualizo el listado de empleos, cuando hago clic sobre el título de una vacante específica, </t>
    </r>
    <r>
      <rPr>
        <rFont val="Arial"/>
        <b/>
        <color theme="1"/>
        <sz val="12.0"/>
      </rPr>
      <t xml:space="preserve">entonces </t>
    </r>
    <r>
      <rPr>
        <rFont val="Arial"/>
        <color theme="1"/>
        <sz val="12.0"/>
      </rPr>
      <t>el sistema me redirige a una vista detallada que incluye descripción, requisitos, beneficios y el botón de postulación.</t>
    </r>
  </si>
  <si>
    <r>
      <rPr>
        <rFont val="Arial"/>
        <b/>
        <color theme="1"/>
        <sz val="12.0"/>
      </rPr>
      <t>RF2 -</t>
    </r>
    <r>
      <rPr>
        <rFont val="Arial"/>
        <color theme="1"/>
        <sz val="12.0"/>
      </rPr>
      <t xml:space="preserve"> El botón "Postularse" debe habilitarse únicamente si el usuario ha completado previamente la carga de su CV.
</t>
    </r>
    <r>
      <rPr>
        <rFont val="Arial"/>
        <b/>
        <color theme="1"/>
        <sz val="12.0"/>
      </rPr>
      <t>RF2.1 -</t>
    </r>
    <r>
      <rPr>
        <rFont val="Arial"/>
        <color theme="1"/>
        <sz val="12.0"/>
      </rPr>
      <t xml:space="preserve"> Al confirmar la postulación, el sistema debe enviar una notificación automática al equipo de selección de TL-Consultora.</t>
    </r>
  </si>
  <si>
    <r>
      <rPr>
        <rFont val="Arial"/>
        <b/>
        <color theme="1"/>
        <sz val="12.0"/>
      </rPr>
      <t xml:space="preserve">RNF2 - </t>
    </r>
    <r>
      <rPr>
        <rFont val="Arial"/>
        <color theme="1"/>
        <sz val="12.0"/>
      </rPr>
      <t xml:space="preserve">La página de detalle debe ser responsiva, adaptando el texto y botones para una lectura cómoda en dispositivos móviles.
</t>
    </r>
    <r>
      <rPr>
        <rFont val="Arial"/>
        <b/>
        <color theme="1"/>
        <sz val="12.0"/>
      </rPr>
      <t>RNF2.1 -</t>
    </r>
    <r>
      <rPr>
        <rFont val="Arial"/>
        <color theme="1"/>
        <sz val="12.0"/>
      </rPr>
      <t xml:space="preserve"> Uso de contrastes visuales estándar (Standard UI) para que los requisitos técnicos sean legibles para personas con dificultades visuales.</t>
    </r>
  </si>
  <si>
    <t>Si el usuario intenta postularse a una oferta que ha sido dada de baja recientemente, el sistema debe desplegar un pop-up indicando: "Esta vacante ya no está disponible".</t>
  </si>
  <si>
    <r>
      <rPr>
        <rFont val="Arial"/>
        <b/>
        <color theme="1"/>
        <sz val="12.0"/>
      </rPr>
      <t xml:space="preserve">E2 - </t>
    </r>
    <r>
      <rPr>
        <rFont val="Arial"/>
        <color theme="1"/>
        <sz val="12.0"/>
      </rPr>
      <t>Gestión de Contacto para Empresas</t>
    </r>
  </si>
  <si>
    <r>
      <rPr>
        <rFont val="Arial"/>
        <b/>
        <color theme="1"/>
        <sz val="12.0"/>
      </rPr>
      <t xml:space="preserve">F3 - </t>
    </r>
    <r>
      <rPr>
        <rFont val="Arial"/>
        <b val="0"/>
        <color theme="1"/>
        <sz val="12.0"/>
      </rPr>
      <t>Formulario de Solicitud de Servicios</t>
    </r>
  </si>
  <si>
    <r>
      <rPr>
        <rFont val="Arial"/>
        <b/>
        <color theme="1"/>
        <sz val="12.0"/>
      </rPr>
      <t>US3 -</t>
    </r>
    <r>
      <rPr>
        <rFont val="Arial"/>
        <color theme="1"/>
        <sz val="12.0"/>
      </rPr>
      <t xml:space="preserve"> </t>
    </r>
    <r>
      <rPr>
        <rFont val="Arial"/>
        <b/>
        <color theme="1"/>
        <sz val="12.0"/>
      </rPr>
      <t xml:space="preserve">Como </t>
    </r>
    <r>
      <rPr>
        <rFont val="Arial"/>
        <color theme="1"/>
        <sz val="12.0"/>
      </rPr>
      <t xml:space="preserve">representante de una empresa, </t>
    </r>
    <r>
      <rPr>
        <rFont val="Arial"/>
        <b/>
        <color theme="1"/>
        <sz val="12.0"/>
      </rPr>
      <t xml:space="preserve">quiero </t>
    </r>
    <r>
      <rPr>
        <rFont val="Arial"/>
        <color theme="1"/>
        <sz val="12.0"/>
      </rPr>
      <t xml:space="preserve">completar un formulario con mis datos corporativos </t>
    </r>
    <r>
      <rPr>
        <rFont val="Arial"/>
        <b/>
        <color theme="1"/>
        <sz val="12.0"/>
      </rPr>
      <t xml:space="preserve">para </t>
    </r>
    <r>
      <rPr>
        <rFont val="Arial"/>
        <color theme="1"/>
        <sz val="12.0"/>
      </rPr>
      <t xml:space="preserve">solicitar un presupuesto personalizado de servicios de reclutamiento. 
</t>
    </r>
    <r>
      <rPr>
        <rFont val="Arial"/>
        <b/>
        <color theme="1"/>
        <sz val="12.0"/>
      </rPr>
      <t>US3.1 -</t>
    </r>
    <r>
      <rPr>
        <rFont val="Arial"/>
        <color theme="1"/>
        <sz val="12.0"/>
      </rPr>
      <t xml:space="preserve"> </t>
    </r>
    <r>
      <rPr>
        <rFont val="Arial"/>
        <b/>
        <color theme="1"/>
        <sz val="12.0"/>
      </rPr>
      <t>Como</t>
    </r>
    <r>
      <rPr>
        <rFont val="Arial"/>
        <color theme="1"/>
        <sz val="12.0"/>
      </rPr>
      <t xml:space="preserve"> representante de una empresa, </t>
    </r>
    <r>
      <rPr>
        <rFont val="Arial"/>
        <b/>
        <color theme="1"/>
        <sz val="12.0"/>
      </rPr>
      <t xml:space="preserve">quiero </t>
    </r>
    <r>
      <rPr>
        <rFont val="Arial"/>
        <color theme="1"/>
        <sz val="12.0"/>
      </rPr>
      <t xml:space="preserve">recibir un mensaje de confirmación tras el envío </t>
    </r>
    <r>
      <rPr>
        <rFont val="Arial"/>
        <b/>
        <color theme="1"/>
        <sz val="12.0"/>
      </rPr>
      <t xml:space="preserve">para </t>
    </r>
    <r>
      <rPr>
        <rFont val="Arial"/>
        <color theme="1"/>
        <sz val="12.0"/>
      </rPr>
      <t>tener la certeza de que mi solicitud fue procesada correctamente.</t>
    </r>
  </si>
  <si>
    <r>
      <rPr>
        <rFont val="Arial"/>
        <b/>
        <color theme="1"/>
        <sz val="12.0"/>
      </rPr>
      <t xml:space="preserve">Dado </t>
    </r>
    <r>
      <rPr>
        <rFont val="Arial"/>
        <color theme="1"/>
        <sz val="12.0"/>
      </rPr>
      <t xml:space="preserve">que me encuentro en la sección de "Contacto", </t>
    </r>
    <r>
      <rPr>
        <rFont val="Arial"/>
        <b/>
        <color theme="1"/>
        <sz val="12.0"/>
      </rPr>
      <t xml:space="preserve">cuando </t>
    </r>
    <r>
      <rPr>
        <rFont val="Arial"/>
        <color theme="1"/>
        <sz val="12.0"/>
      </rPr>
      <t xml:space="preserve">complete los campos obligatorios (Nombre, Empresa, Email) y haga clic en "Enviar", </t>
    </r>
    <r>
      <rPr>
        <rFont val="Arial"/>
        <b/>
        <color theme="1"/>
        <sz val="12.0"/>
      </rPr>
      <t xml:space="preserve">entonces </t>
    </r>
    <r>
      <rPr>
        <rFont val="Arial"/>
        <color theme="1"/>
        <sz val="12.0"/>
      </rPr>
      <t>el sistema procesa la solicitud y muestra un mensaje de éxito en pantalla.</t>
    </r>
  </si>
  <si>
    <r>
      <rPr>
        <rFont val="Arial"/>
        <b/>
        <color theme="1"/>
        <sz val="12.0"/>
      </rPr>
      <t>RF3 -</t>
    </r>
    <r>
      <rPr>
        <rFont val="Arial"/>
        <color theme="1"/>
        <sz val="12.0"/>
      </rPr>
      <t xml:space="preserve"> Validación del campo Email: el sistema debe verificar que el correo tenga un dominio válido (ej. @gmail, @empresa.com) antes de permitir el envío.
</t>
    </r>
    <r>
      <rPr>
        <rFont val="Arial"/>
        <b/>
        <color theme="1"/>
        <sz val="12.0"/>
      </rPr>
      <t>RF3.1 -</t>
    </r>
    <r>
      <rPr>
        <rFont val="Arial"/>
        <color theme="1"/>
        <sz val="12.0"/>
      </rPr>
      <t xml:space="preserve"> El sistema debe convertir automáticamente la primera letra del campo "Nombre" a mayúscula (Capitalize) por prolijidad en la base de datos.</t>
    </r>
  </si>
  <si>
    <r>
      <rPr>
        <rFont val="Arial"/>
        <b/>
        <color theme="1"/>
        <sz val="12.0"/>
      </rPr>
      <t>RNF3 -</t>
    </r>
    <r>
      <rPr>
        <rFont val="Arial"/>
        <color theme="1"/>
        <sz val="12.0"/>
      </rPr>
      <t xml:space="preserve"> El botón de "Enviar" debe mostrar un estado de "Cargando" (spinner) mientras se procesa la solicitud para evitar clics duplicados.
</t>
    </r>
    <r>
      <rPr>
        <rFont val="Arial"/>
        <b/>
        <color theme="1"/>
        <sz val="12.0"/>
      </rPr>
      <t>RNF3.1 -</t>
    </r>
    <r>
      <rPr>
        <rFont val="Arial"/>
        <color theme="1"/>
        <sz val="12.0"/>
      </rPr>
      <t xml:space="preserve"> El formulario debe contar con placeholders claros que guíen al usuario sobre qué información ingresar en cada campo.</t>
    </r>
  </si>
  <si>
    <t>Si ocurre una falla en el servidor de correos al intentar enviar el formulario, el sistema debe mostrar el mensaje: "Error al procesar el registro. Por favor, verifique su conexión e intente nuevamente".</t>
  </si>
  <si>
    <r>
      <rPr>
        <rFont val="Arial"/>
        <b/>
        <color theme="1"/>
        <sz val="12.0"/>
      </rPr>
      <t xml:space="preserve">F4 - </t>
    </r>
    <r>
      <rPr>
        <rFont val="Arial"/>
        <b val="0"/>
        <color theme="1"/>
        <sz val="12.0"/>
      </rPr>
      <t>Selección de Servicios Especializados</t>
    </r>
  </si>
  <si>
    <r>
      <rPr>
        <rFont val="Arial"/>
        <b/>
        <color theme="1"/>
        <sz val="12.0"/>
      </rPr>
      <t>US4 - Como</t>
    </r>
    <r>
      <rPr>
        <rFont val="Arial"/>
        <color theme="1"/>
        <sz val="12.0"/>
      </rPr>
      <t xml:space="preserve"> representante de una empresa, </t>
    </r>
    <r>
      <rPr>
        <rFont val="Arial"/>
        <b/>
        <color theme="1"/>
        <sz val="12.0"/>
      </rPr>
      <t xml:space="preserve">quiero </t>
    </r>
    <r>
      <rPr>
        <rFont val="Arial"/>
        <color theme="1"/>
        <sz val="12.0"/>
      </rPr>
      <t xml:space="preserve">seleccionar servicios específicos (como Headhunting o Evaluación) </t>
    </r>
    <r>
      <rPr>
        <rFont val="Arial"/>
        <b/>
        <color theme="1"/>
        <sz val="12.0"/>
      </rPr>
      <t xml:space="preserve">para </t>
    </r>
    <r>
      <rPr>
        <rFont val="Arial"/>
        <color theme="1"/>
        <sz val="12.0"/>
      </rPr>
      <t xml:space="preserve">que el consultor que me contacte sea un experto en el área requerida.
</t>
    </r>
    <r>
      <rPr>
        <rFont val="Arial"/>
        <b/>
        <color theme="1"/>
        <sz val="12.0"/>
      </rPr>
      <t>US4.1 - Como</t>
    </r>
    <r>
      <rPr>
        <rFont val="Arial"/>
        <color theme="1"/>
        <sz val="12.0"/>
      </rPr>
      <t xml:space="preserve"> representante de una empresa, </t>
    </r>
    <r>
      <rPr>
        <rFont val="Arial"/>
        <b/>
        <color theme="1"/>
        <sz val="12.0"/>
      </rPr>
      <t xml:space="preserve">quiero </t>
    </r>
    <r>
      <rPr>
        <rFont val="Arial"/>
        <color theme="1"/>
        <sz val="12.0"/>
      </rPr>
      <t xml:space="preserve">visualizar testimonios de otros clientes en la sección de contacto </t>
    </r>
    <r>
      <rPr>
        <rFont val="Arial"/>
        <b/>
        <color theme="1"/>
        <sz val="12.0"/>
      </rPr>
      <t xml:space="preserve">para </t>
    </r>
    <r>
      <rPr>
        <rFont val="Arial"/>
        <color theme="1"/>
        <sz val="12.0"/>
      </rPr>
      <t>validar la reputación de la consultora antes de contratar.</t>
    </r>
  </si>
  <si>
    <r>
      <rPr>
        <rFont val="Arial"/>
        <b/>
        <color theme="1"/>
        <sz val="12.0"/>
      </rPr>
      <t xml:space="preserve">Dado </t>
    </r>
    <r>
      <rPr>
        <rFont val="Arial"/>
        <color theme="1"/>
        <sz val="12.0"/>
      </rPr>
      <t xml:space="preserve">que estoy en el formulario de contacto, </t>
    </r>
    <r>
      <rPr>
        <rFont val="Arial"/>
        <b/>
        <color theme="1"/>
        <sz val="12.0"/>
      </rPr>
      <t xml:space="preserve">cuando </t>
    </r>
    <r>
      <rPr>
        <rFont val="Arial"/>
        <color theme="1"/>
        <sz val="12.0"/>
      </rPr>
      <t xml:space="preserve">marque las opciones deseadas en la lista de servicios (Reclutamiento, Headhunting, Consultoría o Evaluación), </t>
    </r>
    <r>
      <rPr>
        <rFont val="Arial"/>
        <b/>
        <color theme="1"/>
        <sz val="12.0"/>
      </rPr>
      <t xml:space="preserve">entonces </t>
    </r>
    <r>
      <rPr>
        <rFont val="Arial"/>
        <color theme="1"/>
        <sz val="12.0"/>
      </rPr>
      <t>el sistema debe incluir estas preferencias en el correo final enviado a la consultora.</t>
    </r>
  </si>
  <si>
    <r>
      <rPr>
        <rFont val="Arial"/>
        <b/>
        <color theme="1"/>
        <sz val="12.0"/>
      </rPr>
      <t>RF4 -</t>
    </r>
    <r>
      <rPr>
        <rFont val="Arial"/>
        <color theme="1"/>
        <sz val="12.0"/>
      </rPr>
      <t xml:space="preserve"> El sistema debe permitir la selección múltiple de servicios mediante casillas de verificación (checkboxes).
</t>
    </r>
    <r>
      <rPr>
        <rFont val="Arial"/>
        <b/>
        <color theme="1"/>
        <sz val="12.0"/>
      </rPr>
      <t>RF4.1 -</t>
    </r>
    <r>
      <rPr>
        <rFont val="Arial"/>
        <color theme="1"/>
        <sz val="12.0"/>
      </rPr>
      <t xml:space="preserve"> Al pasar el mouse por cada servicio, el sistema debe mostrar un tooltip con una breve explicación de qué incluye (ej. "Headhunting: Búsqueda directa de perfiles especializados")</t>
    </r>
  </si>
  <si>
    <r>
      <rPr>
        <rFont val="Arial"/>
        <b/>
        <color theme="1"/>
        <sz val="12.0"/>
      </rPr>
      <t>NF4 -</t>
    </r>
    <r>
      <rPr>
        <rFont val="Arial"/>
        <color theme="1"/>
        <sz val="12.0"/>
      </rPr>
      <t xml:space="preserve"> La comunicación de los datos seleccionados debe realizarse bajo protocolo seguro HTTPS para proteger la información corporativa.
.
</t>
    </r>
    <r>
      <rPr>
        <rFont val="Arial"/>
        <b/>
        <color theme="1"/>
        <sz val="12.0"/>
      </rPr>
      <t>NF4.1 -</t>
    </r>
    <r>
      <rPr>
        <rFont val="Arial"/>
        <color theme="1"/>
        <sz val="12.0"/>
      </rPr>
      <t xml:space="preserve"> El diseño de los selectores debe tener un tamaño mínimo de 44x44 píxeles para asegurar que sean fáciles de cliquear en pantallas táctiles.</t>
    </r>
  </si>
  <si>
    <r>
      <rPr>
        <rFont val="Arial"/>
        <color theme="1"/>
        <sz val="12.0"/>
      </rPr>
      <t>Si el usuario presiona "Enviar" sin haber seleccionado al menos un servicio, el sistema debe resaltar el área en rojo y mostrar un mensaje de advertencia: "Por favor, seleccione al menos un servicio de interés"</t>
    </r>
    <r>
      <rPr>
        <rFont val="Arial"/>
        <color theme="1"/>
      </rPr>
      <t xml:space="preserve">
.
</t>
    </r>
  </si>
  <si>
    <r>
      <rPr>
        <rFont val="Arial"/>
        <color theme="1"/>
        <sz val="12.0"/>
      </rPr>
      <t xml:space="preserve">Los </t>
    </r>
    <r>
      <rPr>
        <rFont val="Arial"/>
        <b/>
        <color theme="1"/>
        <sz val="12.0"/>
      </rPr>
      <t>Criterios Funcionales</t>
    </r>
    <r>
      <rPr>
        <rFont val="Arial"/>
        <color theme="1"/>
        <sz val="12.0"/>
      </rPr>
      <t xml:space="preserve"> son vitales porque garantizan que el sistema cumpla con su propósito (conectar talento con empresas). Si la postulación o la carga de CV fallan, el negocio de la consultora no puede operar.</t>
    </r>
  </si>
  <si>
    <r>
      <rPr>
        <rFont val="Arial"/>
        <color theme="1"/>
        <sz val="12.0"/>
      </rPr>
      <t xml:space="preserve">Los </t>
    </r>
    <r>
      <rPr>
        <rFont val="Arial"/>
        <b/>
        <color theme="1"/>
        <sz val="12.0"/>
      </rPr>
      <t>Criterios No Funcionales</t>
    </r>
    <r>
      <rPr>
        <rFont val="Arial"/>
        <color theme="1"/>
        <sz val="12.0"/>
      </rPr>
      <t xml:space="preserve"> son fundamentales para la retención del usuario. Un tiempo de respuesta lento o una mala compatibilidad móvil harían que candidatos y empresas abandonen el sitio por frustración, afectando la reputación de la consultora.</t>
    </r>
  </si>
  <si>
    <t>BUG REPORT - SPRINT #1</t>
  </si>
  <si>
    <t>COBERTURA DE PRUEBAS - SPRINT #1</t>
  </si>
  <si>
    <t>INFORME DE MÉTRICAS FINALES</t>
  </si>
  <si>
    <t>Tipo</t>
  </si>
  <si>
    <t>Título</t>
  </si>
  <si>
    <t>Descripción</t>
  </si>
  <si>
    <t>Severidad</t>
  </si>
  <si>
    <t>Prioridad</t>
  </si>
  <si>
    <t>Entorno</t>
  </si>
  <si>
    <t>Proyecto</t>
  </si>
  <si>
    <t>Pasos para reproducir</t>
  </si>
  <si>
    <t>Evidencia adjunta</t>
  </si>
  <si>
    <t>F3 - Formulario de contacto</t>
  </si>
  <si>
    <t>Talento Lab</t>
  </si>
  <si>
    <t>Total de casos de prueba</t>
  </si>
  <si>
    <t>Casos ejecutados</t>
  </si>
  <si>
    <t>Cobertura(%)</t>
  </si>
  <si>
    <t>Sprint/iteración</t>
  </si>
  <si>
    <t>Cobertura baja (Si/No)</t>
  </si>
  <si>
    <t>Sprint #1</t>
  </si>
  <si>
    <t>Pruebas faltantes/Justificación</t>
  </si>
  <si>
    <t>Error</t>
  </si>
  <si>
    <t>Fecha de ejecución</t>
  </si>
  <si>
    <t>20 de mayo de 2026 de 08.00 a 16.00</t>
  </si>
  <si>
    <t>Error "unexpected token" al intentar enviar el formulario.</t>
  </si>
  <si>
    <t>Tester responsable</t>
  </si>
  <si>
    <t>Jimena Ruiz</t>
  </si>
  <si>
    <r>
      <rPr>
        <rFont val="Arial"/>
        <b/>
        <color theme="1"/>
        <sz val="12.0"/>
      </rPr>
      <t xml:space="preserve">F1 - </t>
    </r>
    <r>
      <rPr>
        <rFont val="Arial"/>
        <b val="0"/>
        <color theme="1"/>
        <sz val="12.0"/>
      </rPr>
      <t>Filtros de Búsqueda</t>
    </r>
  </si>
  <si>
    <t>Al presionar "Enviar" en el contacto, el sistema arroja un error "unexpected token", lo que indica un fallo en la comunicación con el servidor.</t>
  </si>
  <si>
    <t>Casos planificados</t>
  </si>
  <si>
    <t>% de ejecución</t>
  </si>
  <si>
    <t>Defectos encontrados</t>
  </si>
  <si>
    <t>Muy alta</t>
  </si>
  <si>
    <t>7 (3 críticos, 2 medios, 2 leves)</t>
  </si>
  <si>
    <t>SPRINT #1</t>
  </si>
  <si>
    <t>Windows 11, Chrome v124, Desktop.</t>
  </si>
  <si>
    <t>1. Ir a "Contacto". 
2. Completar campos obligatorios.
3. Hacer clic en "Enviar".</t>
  </si>
  <si>
    <t>Captura de pantlla del mensaje técnico tras el envío.</t>
  </si>
  <si>
    <t>F1 - Filtros de Búsqueda</t>
  </si>
  <si>
    <t>F2 - Postulación a empleos</t>
  </si>
  <si>
    <t>F4 - Selección de servicios</t>
  </si>
  <si>
    <t>Defecto</t>
  </si>
  <si>
    <t>Botón "Postularse" habilitado para usuarios no registrados.</t>
  </si>
  <si>
    <t>El botón "Postularse" es cliqueable para usuarios invitados, lo que dispara una redirección forzosa al registro sin previo aviso.</t>
  </si>
  <si>
    <t>Media</t>
  </si>
  <si>
    <t>Si</t>
  </si>
  <si>
    <t>Pruebas realizadas desde el filtro de búsqueda. Quedaría testear con botón de búsqueda agregado.</t>
  </si>
  <si>
    <t>Baja</t>
  </si>
  <si>
    <t>Android 14, Chrome Mobile, Smartphone.</t>
  </si>
  <si>
    <t>1. Ir a "Ofertas" sin loguearse.
2. Intentar hacer clic en el botón "Postularse".</t>
  </si>
  <si>
    <t>Críticos</t>
  </si>
  <si>
    <t>Imagen del botón activo para usuarios invitados.</t>
  </si>
  <si>
    <t>Medios</t>
  </si>
  <si>
    <r>
      <rPr>
        <rFont val="Arial"/>
        <b/>
        <color theme="1"/>
        <sz val="12.0"/>
      </rPr>
      <t>F2 -</t>
    </r>
    <r>
      <rPr>
        <rFont val="Arial"/>
        <color theme="1"/>
        <sz val="12.0"/>
      </rPr>
      <t xml:space="preserve"> Postulación a empleos</t>
    </r>
  </si>
  <si>
    <t>F4 - Selección de servicios especializados</t>
  </si>
  <si>
    <t>Leves</t>
  </si>
  <si>
    <t>Fallo</t>
  </si>
  <si>
    <t>Bloqueo total de la solicitud de servicios por error en el envío.</t>
  </si>
  <si>
    <t>Debido al error en el formulario de contacto, la selección de servicios (Headhunting, Evaluación, etc.) no puede ser procesada ni enviada a la consultora.</t>
  </si>
  <si>
    <t>No</t>
  </si>
  <si>
    <t>Se cubrieron satisfactoriamente las pruebas.</t>
  </si>
  <si>
    <t>Alta</t>
  </si>
  <si>
    <t>iOS 17, Safari Mobile, iPhone 15.</t>
  </si>
  <si>
    <r>
      <rPr>
        <rFont val="Arial"/>
        <b/>
        <color theme="1"/>
        <sz val="12.0"/>
      </rPr>
      <t>F3 -</t>
    </r>
    <r>
      <rPr>
        <rFont val="Arial"/>
        <color theme="1"/>
        <sz val="12.0"/>
      </rPr>
      <t xml:space="preserve"> Formulario de contacto</t>
    </r>
  </si>
  <si>
    <t>1. Ir a "Contacto".
2. Completar datos y click en "Enviar".
3. Observar el bloqueo.</t>
  </si>
  <si>
    <t>Imagen de los servicios seleccionados junto al error de envío.</t>
  </si>
  <si>
    <t>% de defectos</t>
  </si>
  <si>
    <t>Pendiente ejecutar pruebas luego de recibir confirmación de formulario.</t>
  </si>
  <si>
    <r>
      <rPr>
        <rFont val="Arial"/>
        <b/>
        <color theme="1"/>
        <sz val="12.0"/>
      </rPr>
      <t>F4 -</t>
    </r>
    <r>
      <rPr>
        <rFont val="Arial"/>
        <color theme="1"/>
        <sz val="12.0"/>
      </rPr>
      <t xml:space="preserve"> Selección de servicios</t>
    </r>
  </si>
  <si>
    <t>Tiempo total 8 horas</t>
  </si>
  <si>
    <t>Prueba faltante al bloquearse el sistema e impedir continuar con el testeo.</t>
  </si>
  <si>
    <t>REPORTE Y ESTADO DE CALIDAD</t>
  </si>
  <si>
    <t>TOTAL</t>
  </si>
  <si>
    <t>1. Resumen ejecutivo</t>
  </si>
  <si>
    <t>Este reporte detalla los resultados del Sprint #1 para la web de Talento Lab. Se validaron los flujos de búsqueda de empleo y contacto empresarial. Si bien la postulación es estable, se identificaron fallos críticos de comunicación en el área de servicios.</t>
  </si>
  <si>
    <t>2. Métricas de ejecución</t>
  </si>
  <si>
    <t xml:space="preserve">Total de casos de prueba diseñados: 12. </t>
  </si>
  <si>
    <t>Total de casos ejecutados: 8.</t>
  </si>
  <si>
    <t>Porcentaje de cobertura: 66%.</t>
  </si>
  <si>
    <t xml:space="preserve">Casos exitosos: 5.
</t>
  </si>
  <si>
    <t>INFORME DE MÉTRICAS FINALES - SPRINT #1</t>
  </si>
  <si>
    <t>Casos fallidos: 3 (derivados en Bug Reports).</t>
  </si>
  <si>
    <t>3. Resumen de defectos (bugs)</t>
  </si>
  <si>
    <t>BR-01 (Error): Error "unexpected token" al intentar enviar el formulario</t>
  </si>
  <si>
    <t>Total de casos</t>
  </si>
  <si>
    <t>BR-02 (Defecto): Botón "Postularse" habilitado para usuarios no registrados.</t>
  </si>
  <si>
    <t>Ejecutados</t>
  </si>
  <si>
    <t>Fórmula</t>
  </si>
  <si>
    <t>BR-03 (Fallo): Error en formulario de contacto.</t>
  </si>
  <si>
    <t>(8/12) x 100 = 66% de cobertura funcional</t>
  </si>
  <si>
    <t>Análisis de riesgos</t>
  </si>
  <si>
    <t xml:space="preserve"> Se detecta un riesgo crítico en el flujo de negocio de la consultora debido al error técnico "unexpected token" en el Formulario de Contacto (F3), el cual actúa como un bloqueador para la Selección de Servicios (F4).  Esto genera una cobertura baja (50%) en una funcionalidad de prioridad alta. Asimismo, existe un riesgo moderado en el Sistema de Filtros (F1) con solo un 33% de cobertura, lo que podría derivar en una mala experiencia para los candidatos si no se validan los resultados de búsqueda antes del lanzamiento final.</t>
  </si>
  <si>
    <t>4. Evaluación de riesgos</t>
  </si>
  <si>
    <r>
      <rPr>
        <rFont val="Arial"/>
        <b/>
        <color theme="1"/>
        <sz val="12.0"/>
      </rPr>
      <t>Riesgo Alto</t>
    </r>
    <r>
      <rPr>
        <rFont val="Arial"/>
        <color theme="1"/>
        <sz val="12.0"/>
      </rPr>
      <t>. La imposibilidad de enviar el formulario de contacto impide que los clientes soliciten servicios, lo que impacta directamente en la rentabilidad del modelo de negocio de la consultora.</t>
    </r>
  </si>
  <si>
    <t>Justificación de calidad</t>
  </si>
  <si>
    <t>5. Conclusión y recomendación</t>
  </si>
  <si>
    <t>Se alcanza una cobertura funcional del 66%, lo cual se considera aceptable para una instancia de preentrega. El esfuerzo se centró satisfactoriamente en la Postulación a Empleos (F2), logrando un 100% de ejecución en este módulo crítico para el candidato. Aunque se han encontrado defectos de severidad alta, su detección temprana en este ciclo permite asegurar que los datos fundamentales de postulación y contacto sean corregidos antes de la entrega final, garantizando la integridad de la base de datos.</t>
  </si>
  <si>
    <t>Estado: NO APROBADO PARA PRODUCCIÓN.</t>
  </si>
  <si>
    <t xml:space="preserve"> Se recomienda la corrección inmediata de los errores críticos de envío (F3) y completar las pruebas de filtros (F1) y servicios (F4) en un ciclo de re-testing antes del cierre definitivo del proyecto.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</si>
</sst>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i/>
      <sz val="16.0"/>
      <color rgb="FF000000"/>
      <name val="Arial"/>
      <scheme val="minor"/>
    </font>
    <font>
      <b/>
      <sz val="14.0"/>
      <color theme="1"/>
      <name val="Arial"/>
      <scheme val="minor"/>
    </font>
    <font>
      <i/>
      <color rgb="FF000000"/>
      <name val="Arial"/>
      <scheme val="minor"/>
    </font>
    <font/>
    <font>
      <sz val="14.0"/>
      <color theme="1"/>
      <name val="Arial"/>
      <scheme val="minor"/>
    </font>
    <font>
      <b/>
      <sz val="12.0"/>
      <color theme="1"/>
      <name val="Arial"/>
      <scheme val="minor"/>
    </font>
    <font>
      <i/>
      <color theme="1"/>
      <name val="Arial"/>
      <scheme val="minor"/>
    </font>
    <font>
      <sz val="12.0"/>
      <color theme="1"/>
      <name val="Arial"/>
      <scheme val="minor"/>
    </font>
    <font>
      <color theme="1"/>
      <name val="Arial"/>
      <scheme val="minor"/>
    </font>
    <font>
      <b/>
      <color theme="1"/>
      <name val="Arial"/>
      <scheme val="minor"/>
    </font>
    <font>
      <sz val="12.0"/>
      <color rgb="FF303030"/>
      <name val="Arial"/>
    </font>
    <font>
      <b/>
      <sz val="12.0"/>
      <color rgb="FF303030"/>
      <name val="&quot;Google Sans Text&quot;"/>
    </font>
  </fonts>
  <fills count="12">
    <fill>
      <patternFill patternType="none"/>
    </fill>
    <fill>
      <patternFill patternType="lightGray"/>
    </fill>
    <fill>
      <patternFill patternType="solid">
        <fgColor theme="9"/>
        <bgColor theme="9"/>
      </patternFill>
    </fill>
    <fill>
      <patternFill patternType="solid">
        <fgColor theme="6"/>
        <bgColor theme="6"/>
      </patternFill>
    </fill>
    <fill>
      <patternFill patternType="solid">
        <fgColor rgb="FFFCE5CD"/>
        <bgColor rgb="FFFCE5CD"/>
      </patternFill>
    </fill>
    <fill>
      <patternFill patternType="solid">
        <fgColor rgb="FFEFEFEF"/>
        <bgColor rgb="FFEFEFEF"/>
      </patternFill>
    </fill>
    <fill>
      <patternFill patternType="solid">
        <fgColor rgb="FFB6D7A8"/>
        <bgColor rgb="FFB6D7A8"/>
      </patternFill>
    </fill>
    <fill>
      <patternFill patternType="solid">
        <fgColor rgb="FFD9D9D9"/>
        <bgColor rgb="FFD9D9D9"/>
      </patternFill>
    </fill>
    <fill>
      <patternFill patternType="solid">
        <fgColor rgb="FFFFD966"/>
        <bgColor rgb="FFFFD966"/>
      </patternFill>
    </fill>
    <fill>
      <patternFill patternType="solid">
        <fgColor rgb="FFEAD1DC"/>
        <bgColor rgb="FFEAD1DC"/>
      </patternFill>
    </fill>
    <fill>
      <patternFill patternType="solid">
        <fgColor theme="0"/>
        <bgColor theme="0"/>
      </patternFill>
    </fill>
    <fill>
      <patternFill patternType="solid">
        <fgColor rgb="FFFFFFFF"/>
        <bgColor rgb="FFFFFFFF"/>
      </patternFill>
    </fill>
  </fills>
  <borders count="60">
    <border/>
    <border>
      <left style="thick">
        <color rgb="FF000000"/>
      </left>
      <top style="thick">
        <color rgb="FF000000"/>
      </top>
    </border>
    <border>
      <left style="thick">
        <color rgb="FF000000"/>
      </left>
      <top style="thick">
        <color rgb="FF000000"/>
      </top>
      <bottom style="medium">
        <color rgb="FF000000"/>
      </bottom>
    </border>
    <border>
      <right style="thick">
        <color rgb="FF000000"/>
      </right>
      <top style="thick">
        <color rgb="FF000000"/>
      </top>
    </border>
    <border>
      <left style="thick">
        <color rgb="FF000000"/>
      </left>
      <right style="medium">
        <color rgb="FF000000"/>
      </right>
      <top style="thick">
        <color rgb="FF000000"/>
      </top>
      <bottom style="medium">
        <color rgb="FF000000"/>
      </bottom>
    </border>
    <border>
      <top style="thick">
        <color rgb="FF000000"/>
      </top>
      <bottom style="medium">
        <color rgb="FF000000"/>
      </bottom>
    </border>
    <border>
      <left style="thick">
        <color rgb="FF000000"/>
      </left>
      <top style="thick">
        <color rgb="FF000000"/>
      </top>
      <bottom style="thick">
        <color rgb="FF000000"/>
      </bottom>
    </border>
    <border>
      <left style="medium">
        <color rgb="FF000000"/>
      </left>
      <right style="medium">
        <color rgb="FF000000"/>
      </right>
      <top style="thick">
        <color rgb="FF000000"/>
      </top>
      <bottom style="medium">
        <color rgb="FF000000"/>
      </bottom>
    </border>
    <border>
      <top style="thick">
        <color rgb="FF000000"/>
      </top>
      <bottom style="thick">
        <color rgb="FF000000"/>
      </bottom>
    </border>
    <border>
      <right style="thick">
        <color rgb="FF000000"/>
      </right>
      <top style="thick">
        <color rgb="FF000000"/>
      </top>
      <bottom style="medium">
        <color rgb="FF000000"/>
      </bottom>
    </border>
    <border>
      <left style="thick">
        <color rgb="FF000000"/>
      </left>
      <right style="medium">
        <color rgb="FF000000"/>
      </right>
      <top style="medium">
        <color rgb="FF000000"/>
      </top>
      <bottom style="medium">
        <color rgb="FF000000"/>
      </bottom>
    </border>
    <border>
      <right style="thick">
        <color rgb="FF000000"/>
      </right>
      <top style="thick">
        <color rgb="FF000000"/>
      </top>
      <bottom style="thick">
        <color rgb="FF000000"/>
      </bottom>
    </border>
    <border>
      <left style="medium">
        <color rgb="FF000000"/>
      </left>
      <right style="thick">
        <color rgb="FF000000"/>
      </right>
      <top style="thick">
        <color rgb="FF000000"/>
      </top>
      <bottom style="medium">
        <color rgb="FF000000"/>
      </bottom>
    </border>
    <border>
      <left style="medium">
        <color rgb="FF000000"/>
      </left>
      <right style="medium">
        <color rgb="FF000000"/>
      </right>
      <top style="medium">
        <color rgb="FF000000"/>
      </top>
      <bottom style="medium">
        <color rgb="FF000000"/>
      </bottom>
    </border>
    <border>
      <left style="thick">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ck">
        <color rgb="FF000000"/>
      </right>
      <top style="medium">
        <color rgb="FF000000"/>
      </top>
      <bottom style="medium">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ck">
        <color rgb="FF000000"/>
      </bottom>
    </border>
    <border>
      <left style="thick">
        <color rgb="FF000000"/>
      </left>
      <right style="thin">
        <color rgb="FF000000"/>
      </right>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ck">
        <color rgb="FF000000"/>
      </right>
      <top style="thin">
        <color rgb="FF000000"/>
      </top>
      <bottom style="thick">
        <color rgb="FF000000"/>
      </bottom>
    </border>
    <border>
      <right style="thin">
        <color rgb="FF000000"/>
      </right>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ck">
        <color rgb="FF000000"/>
      </right>
      <bottom style="medium">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right style="medium">
        <color rgb="FF000000"/>
      </right>
    </border>
    <border>
      <left style="thin">
        <color rgb="FF000000"/>
      </left>
      <right style="thin">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ill="1" applyFont="1">
      <alignment horizontal="center" readingOrder="0" shrinkToFit="0" wrapText="0"/>
    </xf>
    <xf borderId="3" fillId="2" fontId="3" numFmtId="0" xfId="0" applyBorder="1" applyFill="1" applyFont="1"/>
    <xf borderId="4" fillId="2" fontId="2" numFmtId="0" xfId="0" applyAlignment="1" applyBorder="1" applyFill="1" applyFont="1">
      <alignment horizontal="center" readingOrder="0"/>
    </xf>
    <xf borderId="5" fillId="0" fontId="4" numFmtId="0" xfId="0" applyBorder="1" applyFont="1"/>
    <xf borderId="6" fillId="3" fontId="5" numFmtId="0" xfId="0" applyAlignment="1" applyBorder="1" applyFill="1" applyFont="1">
      <alignment horizontal="left" readingOrder="0" shrinkToFit="0" wrapText="1"/>
    </xf>
    <xf borderId="7" fillId="2" fontId="2" numFmtId="0" xfId="0" applyAlignment="1" applyBorder="1" applyFill="1" applyFont="1">
      <alignment horizontal="center" readingOrder="0"/>
    </xf>
    <xf borderId="8" fillId="0" fontId="4" numFmtId="0" xfId="0" applyBorder="1" applyFont="1"/>
    <xf borderId="9" fillId="0" fontId="4" numFmtId="0" xfId="0" applyBorder="1" applyFont="1"/>
    <xf borderId="2" fillId="2" fontId="2" numFmtId="0" xfId="0" applyAlignment="1" applyBorder="1" applyFill="1" applyFont="1">
      <alignment horizontal="center" readingOrder="0"/>
    </xf>
    <xf borderId="10" fillId="4" fontId="6" numFmtId="0" xfId="0" applyAlignment="1" applyBorder="1" applyFill="1" applyFont="1">
      <alignment readingOrder="0"/>
    </xf>
    <xf borderId="11" fillId="0" fontId="4" numFmtId="0" xfId="0" applyBorder="1" applyFont="1"/>
    <xf borderId="12" fillId="2" fontId="2" numFmtId="0" xfId="0" applyAlignment="1" applyBorder="1" applyFill="1" applyFont="1">
      <alignment horizontal="center" readingOrder="0"/>
    </xf>
    <xf borderId="13" fillId="4" fontId="6" numFmtId="0" xfId="0" applyAlignment="1" applyBorder="1" applyFill="1" applyFont="1">
      <alignment readingOrder="0"/>
    </xf>
    <xf borderId="3" fillId="2" fontId="7" numFmtId="0" xfId="0" applyBorder="1" applyFill="1" applyFont="1"/>
    <xf borderId="14" fillId="3" fontId="6" numFmtId="0" xfId="0" applyAlignment="1" applyBorder="1" applyFill="1" applyFont="1">
      <alignment horizontal="center" readingOrder="0" vertical="center"/>
    </xf>
    <xf borderId="10" fillId="4" fontId="6" numFmtId="0" xfId="0" applyAlignment="1" applyBorder="1" applyFill="1" applyFont="1">
      <alignment horizontal="center" readingOrder="0"/>
    </xf>
    <xf borderId="13" fillId="4" fontId="6" numFmtId="0" xfId="0" applyAlignment="1" applyBorder="1" applyFill="1" applyFont="1">
      <alignment readingOrder="0" shrinkToFit="0" wrapText="1"/>
    </xf>
    <xf borderId="15" fillId="5" fontId="8" numFmtId="0" xfId="0" applyAlignment="1" applyBorder="1" applyFill="1" applyFont="1">
      <alignment readingOrder="0" shrinkToFit="0" vertical="center" wrapText="1"/>
    </xf>
    <xf borderId="13" fillId="4" fontId="6" numFmtId="0" xfId="0" applyAlignment="1" applyBorder="1" applyFill="1" applyFont="1">
      <alignment horizontal="center" readingOrder="0"/>
    </xf>
    <xf borderId="16" fillId="5" fontId="8" numFmtId="0" xfId="0" applyAlignment="1" applyBorder="1" applyFill="1" applyFont="1">
      <alignment readingOrder="0" shrinkToFit="0" vertical="center" wrapText="1"/>
    </xf>
    <xf borderId="17" fillId="4" fontId="6" numFmtId="0" xfId="0" applyAlignment="1" applyBorder="1" applyFill="1" applyFont="1">
      <alignment readingOrder="0"/>
    </xf>
    <xf borderId="18" fillId="5" fontId="8" numFmtId="0" xfId="0" applyAlignment="1" applyBorder="1" applyFill="1" applyFont="1">
      <alignment readingOrder="0" shrinkToFit="0" vertical="center" wrapText="1"/>
    </xf>
    <xf borderId="17" fillId="4" fontId="6" numFmtId="0" xfId="0" applyAlignment="1" applyBorder="1" applyFill="1" applyFont="1">
      <alignment horizontal="center" readingOrder="0"/>
    </xf>
    <xf borderId="19" fillId="4" fontId="6" numFmtId="0" xfId="0" applyAlignment="1" applyBorder="1" applyFill="1" applyFont="1">
      <alignment horizontal="center" readingOrder="0" vertical="center"/>
    </xf>
    <xf borderId="20" fillId="6" fontId="9" numFmtId="0" xfId="0" applyAlignment="1" applyBorder="1" applyFill="1" applyFont="1">
      <alignment readingOrder="0" shrinkToFit="0" vertical="center" wrapText="1"/>
    </xf>
    <xf borderId="21" fillId="7" fontId="8" numFmtId="0" xfId="0" applyAlignment="1" applyBorder="1" applyFill="1" applyFont="1">
      <alignment readingOrder="0" shrinkToFit="0" vertical="center" wrapText="1"/>
    </xf>
    <xf borderId="14" fillId="8" fontId="6" numFmtId="0" xfId="0" applyAlignment="1" applyBorder="1" applyFill="1" applyFont="1">
      <alignment horizontal="center" readingOrder="0" shrinkToFit="0" vertical="center" wrapText="1"/>
    </xf>
    <xf borderId="22" fillId="7" fontId="8" numFmtId="0" xfId="0" applyAlignment="1" applyBorder="1" applyFill="1" applyFont="1">
      <alignment readingOrder="0" shrinkToFit="0" vertical="center" wrapText="1"/>
    </xf>
    <xf borderId="23" fillId="5" fontId="10" numFmtId="0" xfId="0" applyAlignment="1" applyBorder="1" applyFill="1" applyFont="1">
      <alignment readingOrder="0" vertical="center"/>
    </xf>
    <xf borderId="16" fillId="5" fontId="11" numFmtId="0" xfId="0" applyAlignment="1" applyBorder="1" applyFill="1" applyFont="1">
      <alignment readingOrder="0" shrinkToFit="0" vertical="center" wrapText="1"/>
    </xf>
    <xf borderId="24" fillId="7" fontId="8" numFmtId="0" xfId="0" applyAlignment="1" applyBorder="1" applyFill="1" applyFont="1">
      <alignment readingOrder="0" shrinkToFit="0" vertical="center" wrapText="1"/>
    </xf>
    <xf borderId="25" fillId="5" fontId="6" numFmtId="0" xfId="0" applyAlignment="1" applyBorder="1" applyFill="1" applyFont="1">
      <alignment readingOrder="0" shrinkToFit="0" vertical="center" wrapText="1"/>
    </xf>
    <xf borderId="16" fillId="5" fontId="8" numFmtId="0" xfId="0" applyAlignment="1" applyBorder="1" applyFill="1" applyFont="1">
      <alignment horizontal="left" readingOrder="0" shrinkToFit="0" vertical="center" wrapText="1"/>
    </xf>
    <xf borderId="6" fillId="3" fontId="8" numFmtId="0" xfId="0" applyAlignment="1" applyBorder="1" applyFill="1" applyFont="1">
      <alignment readingOrder="0"/>
    </xf>
    <xf borderId="18" fillId="5" fontId="9" numFmtId="0" xfId="0" applyAlignment="1" applyBorder="1" applyFill="1" applyFont="1">
      <alignment readingOrder="0" shrinkToFit="0" vertical="center" wrapText="1"/>
    </xf>
    <xf borderId="23" fillId="5" fontId="8" numFmtId="0" xfId="0" applyAlignment="1" applyBorder="1" applyFill="1" applyFont="1">
      <alignment readingOrder="0" shrinkToFit="0" vertical="center" wrapText="1"/>
    </xf>
    <xf borderId="0" fillId="0" fontId="9" numFmtId="0" xfId="0" applyAlignment="1" applyFont="1">
      <alignment vertical="center"/>
    </xf>
    <xf borderId="26" fillId="8" fontId="9" numFmtId="0" xfId="0" applyAlignment="1" applyBorder="1" applyFill="1" applyFont="1">
      <alignment horizontal="center" readingOrder="0" shrinkToFit="0" vertical="center" wrapText="1"/>
    </xf>
    <xf borderId="27" fillId="7" fontId="8" numFmtId="0" xfId="0" applyAlignment="1" applyBorder="1" applyFill="1" applyFont="1">
      <alignment readingOrder="0" shrinkToFit="0" vertical="center" wrapText="1"/>
    </xf>
    <xf borderId="28" fillId="5" fontId="5" numFmtId="0" xfId="0" applyAlignment="1" applyBorder="1" applyFill="1" applyFont="1">
      <alignment readingOrder="0" shrinkToFit="0" vertical="center" wrapText="1"/>
    </xf>
    <xf borderId="20" fillId="0" fontId="4" numFmtId="0" xfId="0" applyBorder="1" applyFont="1"/>
    <xf borderId="29" fillId="7" fontId="8" numFmtId="0" xfId="0" applyAlignment="1" applyBorder="1" applyFill="1" applyFont="1">
      <alignment readingOrder="0" shrinkToFit="0" vertical="center" wrapText="1"/>
    </xf>
    <xf borderId="16" fillId="0" fontId="4" numFmtId="0" xfId="0" applyBorder="1" applyFont="1"/>
    <xf borderId="15" fillId="0" fontId="4" numFmtId="0" xfId="0" applyBorder="1" applyFont="1"/>
    <xf borderId="18" fillId="0" fontId="4" numFmtId="0" xfId="0" applyBorder="1" applyFont="1"/>
    <xf borderId="26" fillId="8" fontId="8" numFmtId="0" xfId="0" applyAlignment="1" applyBorder="1" applyFill="1" applyFont="1">
      <alignment horizontal="center" readingOrder="0" vertical="center"/>
    </xf>
    <xf borderId="27" fillId="5" fontId="8" numFmtId="0" xfId="0" applyAlignment="1" applyBorder="1" applyFill="1" applyFont="1">
      <alignment readingOrder="0" shrinkToFit="0" vertical="center" wrapText="1"/>
    </xf>
    <xf borderId="30" fillId="7" fontId="10" numFmtId="0" xfId="0" applyAlignment="1" applyBorder="1" applyFill="1" applyFont="1">
      <alignment readingOrder="0" vertical="center"/>
    </xf>
    <xf borderId="29" fillId="5" fontId="8" numFmtId="0" xfId="0" applyAlignment="1" applyBorder="1" applyFill="1" applyFont="1">
      <alignment readingOrder="0" shrinkToFit="0" vertical="center" wrapText="1"/>
    </xf>
    <xf borderId="19" fillId="8" fontId="8" numFmtId="0" xfId="0" applyAlignment="1" applyBorder="1" applyFill="1" applyFont="1">
      <alignment horizontal="center" readingOrder="0" vertical="center"/>
    </xf>
    <xf borderId="30" fillId="7" fontId="6" numFmtId="0" xfId="0" applyAlignment="1" applyBorder="1" applyFill="1" applyFont="1">
      <alignment readingOrder="0" shrinkToFit="0" vertical="center" wrapText="1"/>
    </xf>
    <xf borderId="24" fillId="7" fontId="9" numFmtId="0" xfId="0" applyAlignment="1" applyBorder="1" applyFill="1" applyFont="1">
      <alignment readingOrder="0" vertical="center"/>
    </xf>
    <xf borderId="30" fillId="7" fontId="8" numFmtId="0" xfId="0" applyAlignment="1" applyBorder="1" applyFill="1" applyFont="1">
      <alignment readingOrder="0" shrinkToFit="0" vertical="center" wrapText="1"/>
    </xf>
    <xf borderId="30" fillId="7" fontId="9" numFmtId="0" xfId="0" applyAlignment="1" applyBorder="1" applyFill="1" applyFont="1">
      <alignment readingOrder="0" shrinkToFit="0" vertical="center" wrapText="1"/>
    </xf>
    <xf borderId="31" fillId="7" fontId="8" numFmtId="0" xfId="0" applyAlignment="1" applyBorder="1" applyFill="1" applyFont="1">
      <alignment readingOrder="0" shrinkToFit="0" vertical="center" wrapText="1"/>
    </xf>
    <xf borderId="32" fillId="0" fontId="4" numFmtId="0" xfId="0" applyBorder="1" applyFont="1"/>
    <xf borderId="33" fillId="0" fontId="4" numFmtId="0" xfId="0" applyBorder="1" applyFont="1"/>
    <xf borderId="34" fillId="0" fontId="4" numFmtId="0" xfId="0" applyBorder="1" applyFont="1"/>
    <xf borderId="0" fillId="0" fontId="9" numFmtId="0" xfId="0" applyAlignment="1" applyFont="1">
      <alignment shrinkToFit="0" vertical="center" wrapText="1"/>
    </xf>
    <xf borderId="30" fillId="5" fontId="8" numFmtId="0" xfId="0" applyAlignment="1" applyBorder="1" applyFill="1" applyFont="1">
      <alignment readingOrder="0" shrinkToFit="0" vertical="center" wrapText="1"/>
    </xf>
    <xf borderId="30" fillId="5" fontId="9" numFmtId="0" xfId="0" applyAlignment="1" applyBorder="1" applyFill="1" applyFont="1">
      <alignment readingOrder="0" shrinkToFit="0" vertical="center" wrapText="1"/>
    </xf>
    <xf borderId="31" fillId="5" fontId="8" numFmtId="0" xfId="0" applyAlignment="1" applyBorder="1" applyFill="1" applyFont="1">
      <alignment readingOrder="0" shrinkToFit="0" vertical="center" wrapText="1"/>
    </xf>
    <xf borderId="31" fillId="7" fontId="9" numFmtId="0" xfId="0" applyAlignment="1" applyBorder="1" applyFill="1" applyFont="1">
      <alignment readingOrder="0" shrinkToFit="0" vertical="center" wrapText="1"/>
    </xf>
    <xf borderId="35" fillId="0" fontId="4" numFmtId="0" xfId="0" applyBorder="1" applyFont="1"/>
    <xf borderId="36" fillId="0" fontId="4" numFmtId="0" xfId="0" applyBorder="1" applyFont="1"/>
    <xf borderId="37" fillId="0" fontId="4" numFmtId="0" xfId="0" applyBorder="1" applyFont="1"/>
    <xf borderId="27" fillId="3" fontId="9" numFmtId="0" xfId="0" applyAlignment="1" applyBorder="1" applyFill="1" applyFont="1">
      <alignment readingOrder="0" shrinkToFit="0" vertical="center" wrapText="1"/>
    </xf>
    <xf borderId="27" fillId="9" fontId="8" numFmtId="0" xfId="0" applyAlignment="1" applyBorder="1" applyFill="1" applyFont="1">
      <alignment readingOrder="0" shrinkToFit="0" vertical="center" wrapText="1"/>
    </xf>
    <xf borderId="38" fillId="2" fontId="2" numFmtId="0" xfId="0" applyAlignment="1" applyBorder="1" applyFill="1" applyFont="1">
      <alignment horizontal="center" readingOrder="0"/>
    </xf>
    <xf borderId="39" fillId="0" fontId="4" numFmtId="0" xfId="0" applyBorder="1" applyFont="1"/>
    <xf borderId="40" fillId="2" fontId="2" numFmtId="0" xfId="0" applyAlignment="1" applyBorder="1" applyFill="1" applyFont="1">
      <alignment horizontal="center" readingOrder="0"/>
    </xf>
    <xf borderId="41" fillId="0" fontId="4" numFmtId="0" xfId="0" applyBorder="1" applyFont="1"/>
    <xf borderId="42" fillId="0" fontId="4" numFmtId="0" xfId="0" applyBorder="1" applyFont="1"/>
    <xf borderId="43" fillId="4" fontId="6" numFmtId="0" xfId="0" applyAlignment="1" applyBorder="1" applyFill="1" applyFont="1">
      <alignment horizontal="center" readingOrder="0"/>
    </xf>
    <xf borderId="44" fillId="4" fontId="6" numFmtId="0" xfId="0" applyAlignment="1" applyBorder="1" applyFill="1" applyFont="1">
      <alignment readingOrder="0"/>
    </xf>
    <xf borderId="14" fillId="8" fontId="6" numFmtId="0" xfId="0" applyAlignment="1" applyBorder="1" applyFill="1" applyFont="1">
      <alignment horizontal="left" readingOrder="0" shrinkToFit="0" vertical="center" wrapText="1"/>
    </xf>
    <xf borderId="45" fillId="5" fontId="8" numFmtId="0" xfId="0" applyAlignment="1" applyBorder="1" applyFill="1" applyFont="1">
      <alignment readingOrder="0"/>
    </xf>
    <xf borderId="46" fillId="4" fontId="6" numFmtId="0" xfId="0" applyAlignment="1" applyBorder="1" applyFill="1" applyFont="1">
      <alignment readingOrder="0"/>
    </xf>
    <xf borderId="47" fillId="7" fontId="8" numFmtId="0" xfId="0" applyAlignment="1" applyBorder="1" applyFill="1" applyFont="1">
      <alignment readingOrder="0"/>
    </xf>
    <xf borderId="48" fillId="4" fontId="6" numFmtId="0" xfId="0" applyAlignment="1" applyBorder="1" applyFill="1" applyFont="1">
      <alignment horizontal="center" readingOrder="0"/>
    </xf>
    <xf borderId="16" fillId="5" fontId="8" numFmtId="0" xfId="0" applyAlignment="1" applyBorder="1" applyFill="1" applyFont="1">
      <alignment horizontal="center" readingOrder="0" vertical="center"/>
    </xf>
    <xf borderId="47" fillId="5" fontId="8" numFmtId="0" xfId="0" applyAlignment="1" applyBorder="1" applyFill="1" applyFont="1">
      <alignment readingOrder="0"/>
    </xf>
    <xf borderId="16" fillId="8" fontId="6" numFmtId="0" xfId="0" applyAlignment="1" applyBorder="1" applyFill="1" applyFont="1">
      <alignment horizontal="left" readingOrder="0" shrinkToFit="0" vertical="center" wrapText="1"/>
    </xf>
    <xf borderId="16" fillId="5" fontId="8" numFmtId="0" xfId="0" applyAlignment="1" applyBorder="1" applyFill="1" applyFont="1">
      <alignment horizontal="right" readingOrder="0"/>
    </xf>
    <xf borderId="16" fillId="5" fontId="8" numFmtId="0" xfId="0" applyAlignment="1" applyBorder="1" applyFill="1" applyFont="1">
      <alignment readingOrder="0"/>
    </xf>
    <xf borderId="47" fillId="5" fontId="8" numFmtId="9" xfId="0" applyAlignment="1" applyBorder="1" applyFill="1" applyFont="1" applyNumberFormat="1">
      <alignment readingOrder="0"/>
    </xf>
    <xf borderId="49" fillId="4" fontId="6" numFmtId="0" xfId="0" applyAlignment="1" applyBorder="1" applyFill="1" applyFont="1">
      <alignment readingOrder="0"/>
    </xf>
    <xf borderId="16" fillId="0" fontId="8" numFmtId="0" xfId="0" applyAlignment="1" applyBorder="1" applyFont="1">
      <alignment horizontal="center" readingOrder="0" shrinkToFit="0" vertical="center" wrapText="1"/>
    </xf>
    <xf borderId="50" fillId="7" fontId="8" numFmtId="0" xfId="0" applyAlignment="1" applyBorder="1" applyFill="1" applyFont="1">
      <alignment readingOrder="0"/>
    </xf>
    <xf borderId="16" fillId="0" fontId="8" numFmtId="0" xfId="0" applyAlignment="1" applyBorder="1" applyFont="1">
      <alignment horizontal="center" readingOrder="0" vertical="center"/>
    </xf>
    <xf borderId="51" fillId="0" fontId="6" numFmtId="0" xfId="0" applyAlignment="1" applyBorder="1" applyFont="1">
      <alignment horizontal="center"/>
    </xf>
    <xf borderId="0" fillId="3" fontId="6" numFmtId="0" xfId="0" applyAlignment="1" applyFill="1" applyFont="1">
      <alignment horizontal="center" readingOrder="0"/>
    </xf>
    <xf borderId="26" fillId="8" fontId="6" numFmtId="0" xfId="0" applyAlignment="1" applyBorder="1" applyFill="1" applyFont="1">
      <alignment horizontal="left" readingOrder="0" shrinkToFit="0" vertical="center" wrapText="1"/>
    </xf>
    <xf borderId="52" fillId="3" fontId="6" numFmtId="0" xfId="0" applyAlignment="1" applyBorder="1" applyFill="1" applyFont="1">
      <alignment horizontal="center" readingOrder="0"/>
    </xf>
    <xf borderId="27" fillId="7" fontId="8" numFmtId="0" xfId="0" applyAlignment="1" applyBorder="1" applyFill="1" applyFont="1">
      <alignment horizontal="center" readingOrder="0" vertical="center"/>
    </xf>
    <xf borderId="27" fillId="5" fontId="8" numFmtId="0" xfId="0" applyAlignment="1" applyBorder="1" applyFill="1" applyFont="1">
      <alignment readingOrder="0"/>
    </xf>
    <xf borderId="16" fillId="5" fontId="8" numFmtId="9" xfId="0" applyBorder="1" applyFill="1" applyFont="1" applyNumberFormat="1"/>
    <xf borderId="27" fillId="7" fontId="8" numFmtId="0" xfId="0" applyAlignment="1" applyBorder="1" applyFill="1" applyFont="1">
      <alignment readingOrder="0"/>
    </xf>
    <xf borderId="27" fillId="0" fontId="8" numFmtId="0" xfId="0" applyAlignment="1" applyBorder="1" applyFont="1">
      <alignment horizontal="center" readingOrder="0" vertical="center"/>
    </xf>
    <xf borderId="16" fillId="5" fontId="8" numFmtId="0" xfId="0" applyAlignment="1" applyBorder="1" applyFill="1" applyFont="1">
      <alignment readingOrder="0" shrinkToFit="0" wrapText="1"/>
    </xf>
    <xf borderId="27" fillId="8" fontId="9" numFmtId="0" xfId="0" applyAlignment="1" applyBorder="1" applyFill="1" applyFont="1">
      <alignment horizontal="left" readingOrder="0" shrinkToFit="0" vertical="center" wrapText="1"/>
    </xf>
    <xf borderId="19" fillId="8" fontId="6" numFmtId="0" xfId="0" applyAlignment="1" applyBorder="1" applyFill="1" applyFont="1">
      <alignment horizontal="left" readingOrder="0" shrinkToFit="0" vertical="center" wrapText="1"/>
    </xf>
    <xf borderId="27" fillId="7" fontId="8" numFmtId="0" xfId="0" applyAlignment="1" applyBorder="1" applyFill="1" applyFont="1">
      <alignment horizontal="right" readingOrder="0"/>
    </xf>
    <xf borderId="22" fillId="5" fontId="8" numFmtId="0" xfId="0" applyAlignment="1" applyBorder="1" applyFill="1" applyFont="1">
      <alignment horizontal="center" readingOrder="0" vertical="center"/>
    </xf>
    <xf borderId="22" fillId="5" fontId="8" numFmtId="0" xfId="0" applyAlignment="1" applyBorder="1" applyFill="1" applyFont="1">
      <alignment readingOrder="0" shrinkToFit="0" vertical="center" wrapText="1"/>
    </xf>
    <xf borderId="27" fillId="7" fontId="8" numFmtId="9" xfId="0" applyBorder="1" applyFill="1" applyFont="1" applyNumberFormat="1"/>
    <xf borderId="27" fillId="5" fontId="8" numFmtId="10" xfId="0" applyBorder="1" applyFill="1" applyFont="1" applyNumberFormat="1"/>
    <xf borderId="22" fillId="0" fontId="8" numFmtId="0" xfId="0" applyAlignment="1" applyBorder="1" applyFont="1">
      <alignment horizontal="center" readingOrder="0" vertical="center"/>
    </xf>
    <xf borderId="27" fillId="8" fontId="8" numFmtId="0" xfId="0" applyAlignment="1" applyBorder="1" applyFill="1" applyFont="1">
      <alignment horizontal="left" readingOrder="0" shrinkToFit="0" vertical="center" wrapText="1"/>
    </xf>
    <xf borderId="47" fillId="5" fontId="8" numFmtId="10" xfId="0" applyBorder="1" applyFill="1" applyFont="1" applyNumberFormat="1"/>
    <xf borderId="24" fillId="5" fontId="8" numFmtId="0" xfId="0" applyAlignment="1" applyBorder="1" applyFill="1" applyFont="1">
      <alignment readingOrder="0" shrinkToFit="0" vertical="center" wrapText="1"/>
    </xf>
    <xf borderId="27" fillId="5" fontId="8" numFmtId="0" xfId="0" applyAlignment="1" applyBorder="1" applyFill="1" applyFont="1">
      <alignment horizontal="right" readingOrder="0"/>
    </xf>
    <xf borderId="0" fillId="0" fontId="9" numFmtId="0" xfId="0" applyAlignment="1" applyFont="1">
      <alignment shrinkToFit="0" wrapText="1"/>
    </xf>
    <xf borderId="27" fillId="5" fontId="8" numFmtId="9" xfId="0" applyBorder="1" applyFill="1" applyFont="1" applyNumberFormat="1"/>
    <xf borderId="27" fillId="7" fontId="8" numFmtId="10" xfId="0" applyBorder="1" applyFill="1" applyFont="1" applyNumberFormat="1"/>
    <xf borderId="27" fillId="5" fontId="8" numFmtId="0" xfId="0" applyAlignment="1" applyBorder="1" applyFill="1" applyFont="1">
      <alignment horizontal="center" readingOrder="0" vertical="center"/>
    </xf>
    <xf borderId="47" fillId="7" fontId="8" numFmtId="10" xfId="0" applyBorder="1" applyFill="1" applyFont="1" applyNumberFormat="1"/>
    <xf borderId="53" fillId="5" fontId="8" numFmtId="0" xfId="0" applyAlignment="1" applyBorder="1" applyFill="1" applyFont="1">
      <alignment readingOrder="0"/>
    </xf>
    <xf borderId="27" fillId="7" fontId="8" numFmtId="0" xfId="0" applyAlignment="1" applyBorder="1" applyFill="1" applyFont="1">
      <alignment readingOrder="0" shrinkToFit="0" wrapText="1"/>
    </xf>
    <xf borderId="50" fillId="5" fontId="8" numFmtId="0" xfId="0" applyAlignment="1" applyBorder="1" applyFill="1" applyFont="1">
      <alignment readingOrder="0"/>
    </xf>
    <xf borderId="16" fillId="3" fontId="6" numFmtId="0" xfId="0" applyAlignment="1" applyBorder="1" applyFill="1" applyFont="1">
      <alignment readingOrder="0"/>
    </xf>
    <xf borderId="54" fillId="4" fontId="6" numFmtId="0" xfId="0" applyAlignment="1" applyBorder="1" applyFill="1" applyFont="1">
      <alignment readingOrder="0" vertical="center"/>
    </xf>
    <xf borderId="55" fillId="0" fontId="8" numFmtId="0" xfId="0" applyAlignment="1" applyBorder="1" applyFont="1">
      <alignment readingOrder="0" shrinkToFit="0" vertical="center" wrapText="1"/>
    </xf>
    <xf borderId="56" fillId="4" fontId="6" numFmtId="0" xfId="0" applyAlignment="1" applyBorder="1" applyFill="1" applyFont="1">
      <alignment readingOrder="0" vertical="center"/>
    </xf>
    <xf borderId="16" fillId="0" fontId="8" numFmtId="0" xfId="0" applyBorder="1" applyFont="1"/>
    <xf borderId="45" fillId="0" fontId="8" numFmtId="0" xfId="0" applyAlignment="1" applyBorder="1" applyFont="1">
      <alignment readingOrder="0" shrinkToFit="0" vertical="center" wrapText="1"/>
    </xf>
    <xf borderId="27" fillId="0" fontId="8" numFmtId="0" xfId="0" applyAlignment="1" applyBorder="1" applyFont="1">
      <alignment readingOrder="0"/>
    </xf>
    <xf borderId="56" fillId="0" fontId="4" numFmtId="0" xfId="0" applyBorder="1" applyFont="1"/>
    <xf borderId="0" fillId="10" fontId="2" numFmtId="0" xfId="0" applyAlignment="1" applyFill="1" applyFont="1">
      <alignment readingOrder="0"/>
    </xf>
    <xf borderId="54" fillId="0" fontId="4" numFmtId="0" xfId="0" applyBorder="1" applyFont="1"/>
    <xf borderId="50" fillId="0" fontId="8" numFmtId="0" xfId="0" applyAlignment="1" applyBorder="1" applyFont="1">
      <alignment horizontal="left" readingOrder="0" shrinkToFit="0" vertical="center" wrapText="1"/>
    </xf>
    <xf borderId="40" fillId="2" fontId="2" numFmtId="0" xfId="0" applyAlignment="1" applyBorder="1" applyFill="1" applyFont="1">
      <alignment readingOrder="0"/>
    </xf>
    <xf borderId="45" fillId="0" fontId="8" numFmtId="0" xfId="0" applyAlignment="1" applyBorder="1" applyFont="1">
      <alignment readingOrder="0" shrinkToFit="0" wrapText="1"/>
    </xf>
    <xf borderId="44" fillId="8" fontId="6" numFmtId="0" xfId="0" applyAlignment="1" applyBorder="1" applyFill="1" applyFont="1">
      <alignment readingOrder="0" vertical="center"/>
    </xf>
    <xf borderId="47" fillId="0" fontId="8" numFmtId="0" xfId="0" applyAlignment="1" applyBorder="1" applyFont="1">
      <alignment readingOrder="0" shrinkToFit="0" wrapText="1"/>
    </xf>
    <xf borderId="46" fillId="8" fontId="6" numFmtId="0" xfId="0" applyAlignment="1" applyBorder="1" applyFill="1" applyFont="1">
      <alignment readingOrder="0" vertical="center"/>
    </xf>
    <xf borderId="50" fillId="0" fontId="8" numFmtId="0" xfId="0" applyAlignment="1" applyBorder="1" applyFont="1">
      <alignment readingOrder="0" shrinkToFit="0" wrapText="1"/>
    </xf>
    <xf borderId="47" fillId="5" fontId="8" numFmtId="0" xfId="0" applyAlignment="1" applyBorder="1" applyFill="1" applyFont="1">
      <alignment horizontal="left" readingOrder="0" shrinkToFit="0" vertical="center" wrapText="1"/>
    </xf>
    <xf borderId="47" fillId="7" fontId="8" numFmtId="0" xfId="0" applyAlignment="1" applyBorder="1" applyFill="1" applyFont="1">
      <alignment horizontal="left" readingOrder="0" shrinkToFit="0" vertical="center" wrapText="1"/>
    </xf>
    <xf borderId="57" fillId="0" fontId="8" numFmtId="0" xfId="0" applyAlignment="1" applyBorder="1" applyFont="1">
      <alignment readingOrder="0" shrinkToFit="0" vertical="center" wrapText="1"/>
    </xf>
    <xf borderId="49" fillId="8" fontId="6" numFmtId="0" xfId="0" applyAlignment="1" applyBorder="1" applyFill="1" applyFont="1">
      <alignment readingOrder="0" vertical="center"/>
    </xf>
    <xf borderId="51" fillId="4" fontId="6" numFmtId="0" xfId="0" applyAlignment="1" applyBorder="1" applyFill="1" applyFont="1">
      <alignment readingOrder="0" vertical="center"/>
    </xf>
    <xf borderId="50" fillId="5" fontId="8" numFmtId="0" xfId="0" applyAlignment="1" applyBorder="1" applyFill="1" applyFont="1">
      <alignment horizontal="left" readingOrder="0" shrinkToFit="0" vertical="center" wrapText="1"/>
    </xf>
    <xf borderId="58" fillId="11" fontId="12" numFmtId="0" xfId="0" applyAlignment="1" applyBorder="1" applyFill="1" applyFont="1">
      <alignment readingOrder="0" shrinkToFit="0" vertical="center" wrapText="1"/>
    </xf>
    <xf borderId="59"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c r="A1" s="1" t="s">
        <v>1</v>
      </c>
      <c r="B1" s="3"/>
    </row>
    <row r="2">
      <c r="A2" s="6" t="s">
        <v>4</v>
      </c>
      <c r="B2" s="8"/>
      <c r="C2" s="8"/>
      <c r="D2" s="8"/>
      <c r="E2" s="8"/>
      <c r="F2" s="8"/>
      <c r="G2" s="8"/>
      <c r="H2" s="8"/>
      <c r="I2" s="8"/>
      <c r="J2" s="8"/>
      <c r="K2" s="8"/>
      <c r="L2" s="8"/>
      <c r="M2" s="8"/>
      <c r="N2" s="8"/>
      <c r="O2" s="8"/>
      <c r="P2" s="8"/>
      <c r="Q2" s="12"/>
    </row>
    <row r="5">
      <c r="A5" s="1" t="s">
        <v>10</v>
      </c>
      <c r="B5" s="15"/>
    </row>
    <row r="6">
      <c r="A6" s="6" t="s">
        <v>15</v>
      </c>
      <c r="B6" s="8"/>
      <c r="C6" s="8"/>
      <c r="D6" s="8"/>
      <c r="E6" s="8"/>
      <c r="F6" s="8"/>
      <c r="G6" s="8"/>
      <c r="H6" s="8"/>
      <c r="I6" s="8"/>
      <c r="J6" s="8"/>
      <c r="K6" s="8"/>
      <c r="L6" s="8"/>
      <c r="M6" s="8"/>
      <c r="N6" s="8"/>
      <c r="O6" s="8"/>
      <c r="P6" s="8"/>
      <c r="Q6" s="12"/>
    </row>
  </sheetData>
  <mergeCells count="2">
    <mergeCell ref="A2:Q2"/>
    <mergeCell ref="A6:Q6"/>
  </mergeCells>
  <printOptions gridLines="1" horizontalCentered="1" vertic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40.25"/>
    <col customWidth="1" min="3" max="3" width="67.88"/>
    <col customWidth="1" min="4" max="4" width="45.63"/>
    <col customWidth="1" min="5" max="5" width="44.88"/>
    <col customWidth="1" min="6" max="6" width="46.38"/>
    <col customWidth="1" min="7" max="7" width="36.38"/>
  </cols>
  <sheetData>
    <row r="1">
      <c r="A1" s="2" t="s">
        <v>2</v>
      </c>
      <c r="B1" s="5"/>
      <c r="C1" s="5"/>
      <c r="D1" s="5"/>
      <c r="E1" s="5"/>
      <c r="F1" s="5"/>
      <c r="G1" s="9"/>
    </row>
    <row r="2">
      <c r="A2" s="11" t="s">
        <v>8</v>
      </c>
      <c r="B2" s="14" t="s">
        <v>9</v>
      </c>
      <c r="C2" s="14" t="s">
        <v>12</v>
      </c>
      <c r="D2" s="18" t="s">
        <v>16</v>
      </c>
      <c r="E2" s="14" t="s">
        <v>18</v>
      </c>
      <c r="F2" s="14" t="s">
        <v>19</v>
      </c>
      <c r="G2" s="22" t="s">
        <v>22</v>
      </c>
    </row>
    <row r="3">
      <c r="A3" s="26" t="s">
        <v>26</v>
      </c>
      <c r="B3" s="30" t="s">
        <v>30</v>
      </c>
      <c r="C3" s="33" t="s">
        <v>35</v>
      </c>
      <c r="D3" s="37" t="s">
        <v>38</v>
      </c>
      <c r="E3" s="37" t="s">
        <v>40</v>
      </c>
      <c r="F3" s="37" t="s">
        <v>42</v>
      </c>
      <c r="G3" s="41" t="s">
        <v>44</v>
      </c>
    </row>
    <row r="4" ht="114.75" customHeight="1">
      <c r="A4" s="42"/>
      <c r="B4" s="44"/>
      <c r="C4" s="45"/>
      <c r="D4" s="44"/>
      <c r="E4" s="44"/>
      <c r="F4" s="44"/>
      <c r="G4" s="46"/>
    </row>
    <row r="5">
      <c r="A5" s="42"/>
      <c r="B5" s="49" t="s">
        <v>49</v>
      </c>
      <c r="C5" s="52" t="s">
        <v>55</v>
      </c>
      <c r="D5" s="54" t="s">
        <v>60</v>
      </c>
      <c r="E5" s="54" t="s">
        <v>61</v>
      </c>
      <c r="F5" s="55" t="s">
        <v>62</v>
      </c>
      <c r="G5" s="56" t="s">
        <v>63</v>
      </c>
    </row>
    <row r="6" ht="141.0" customHeight="1">
      <c r="A6" s="57"/>
      <c r="B6" s="58"/>
      <c r="C6" s="58"/>
      <c r="D6" s="58"/>
      <c r="E6" s="58"/>
      <c r="F6" s="58"/>
      <c r="G6" s="59"/>
      <c r="I6" s="60"/>
    </row>
    <row r="7">
      <c r="A7" s="26" t="s">
        <v>64</v>
      </c>
      <c r="B7" s="30" t="s">
        <v>65</v>
      </c>
      <c r="C7" s="61" t="s">
        <v>66</v>
      </c>
      <c r="D7" s="62" t="s">
        <v>67</v>
      </c>
      <c r="E7" s="62" t="s">
        <v>68</v>
      </c>
      <c r="F7" s="62" t="s">
        <v>69</v>
      </c>
      <c r="G7" s="63" t="s">
        <v>70</v>
      </c>
    </row>
    <row r="8" ht="126.0" customHeight="1">
      <c r="A8" s="42"/>
      <c r="B8" s="44"/>
      <c r="C8" s="44"/>
      <c r="D8" s="44"/>
      <c r="E8" s="44"/>
      <c r="F8" s="44"/>
      <c r="G8" s="46"/>
    </row>
    <row r="9" ht="12.0" customHeight="1">
      <c r="A9" s="42"/>
      <c r="B9" s="49" t="s">
        <v>71</v>
      </c>
      <c r="C9" s="54" t="s">
        <v>72</v>
      </c>
      <c r="D9" s="55" t="s">
        <v>73</v>
      </c>
      <c r="E9" s="54" t="s">
        <v>74</v>
      </c>
      <c r="F9" s="55" t="s">
        <v>75</v>
      </c>
      <c r="G9" s="64" t="s">
        <v>76</v>
      </c>
    </row>
    <row r="10" ht="111.75" customHeight="1">
      <c r="A10" s="65"/>
      <c r="B10" s="66"/>
      <c r="C10" s="66"/>
      <c r="D10" s="66"/>
      <c r="E10" s="66"/>
      <c r="F10" s="66"/>
      <c r="G10" s="67"/>
    </row>
    <row r="13" ht="106.5" customHeight="1">
      <c r="E13" s="68" t="s">
        <v>77</v>
      </c>
      <c r="F13" s="69" t="s">
        <v>78</v>
      </c>
    </row>
  </sheetData>
  <mergeCells count="27">
    <mergeCell ref="B3:B4"/>
    <mergeCell ref="B5:B6"/>
    <mergeCell ref="A7:A10"/>
    <mergeCell ref="B7:B8"/>
    <mergeCell ref="B9:B10"/>
    <mergeCell ref="C5:C6"/>
    <mergeCell ref="D5:D6"/>
    <mergeCell ref="C7:C8"/>
    <mergeCell ref="D7:D8"/>
    <mergeCell ref="C9:C10"/>
    <mergeCell ref="D9:D10"/>
    <mergeCell ref="E5:E6"/>
    <mergeCell ref="F5:F6"/>
    <mergeCell ref="E7:E8"/>
    <mergeCell ref="F7:F8"/>
    <mergeCell ref="G7:G8"/>
    <mergeCell ref="E9:E10"/>
    <mergeCell ref="F9:F10"/>
    <mergeCell ref="G9:G10"/>
    <mergeCell ref="A1:G1"/>
    <mergeCell ref="A3:A6"/>
    <mergeCell ref="C3:C4"/>
    <mergeCell ref="D3:D4"/>
    <mergeCell ref="E3:E4"/>
    <mergeCell ref="F3:F4"/>
    <mergeCell ref="G3:G4"/>
    <mergeCell ref="G5:G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1.88"/>
    <col customWidth="1" min="2" max="2" width="21.38"/>
    <col customWidth="1" min="3" max="3" width="29.38"/>
    <col customWidth="1" min="4" max="4" width="26.25"/>
    <col customWidth="1" min="5" max="5" width="21.5"/>
  </cols>
  <sheetData>
    <row r="1">
      <c r="A1" s="10" t="s">
        <v>0</v>
      </c>
      <c r="B1" s="5"/>
      <c r="C1" s="5"/>
      <c r="D1" s="5"/>
      <c r="E1" s="9"/>
    </row>
    <row r="2">
      <c r="A2" s="17" t="s">
        <v>13</v>
      </c>
      <c r="B2" s="20" t="s">
        <v>17</v>
      </c>
      <c r="C2" s="20" t="s">
        <v>21</v>
      </c>
      <c r="D2" s="20" t="s">
        <v>23</v>
      </c>
      <c r="E2" s="24" t="s">
        <v>25</v>
      </c>
    </row>
    <row r="3" ht="108.0" customHeight="1">
      <c r="A3" s="28" t="s">
        <v>29</v>
      </c>
      <c r="B3" s="31" t="s">
        <v>32</v>
      </c>
      <c r="C3" s="31" t="s">
        <v>34</v>
      </c>
      <c r="D3" s="34" t="s">
        <v>36</v>
      </c>
      <c r="E3" s="36" t="s">
        <v>39</v>
      </c>
    </row>
    <row r="4" ht="120.75" customHeight="1">
      <c r="A4" s="39" t="s">
        <v>41</v>
      </c>
      <c r="B4" s="40" t="s">
        <v>43</v>
      </c>
      <c r="C4" s="40" t="s">
        <v>45</v>
      </c>
      <c r="D4" s="40" t="s">
        <v>46</v>
      </c>
      <c r="E4" s="43" t="s">
        <v>47</v>
      </c>
    </row>
    <row r="5" ht="110.25" customHeight="1">
      <c r="A5" s="47" t="s">
        <v>48</v>
      </c>
      <c r="B5" s="48" t="s">
        <v>50</v>
      </c>
      <c r="C5" s="48" t="s">
        <v>51</v>
      </c>
      <c r="D5" s="48" t="s">
        <v>52</v>
      </c>
      <c r="E5" s="50" t="s">
        <v>53</v>
      </c>
    </row>
    <row r="6" ht="105.75" customHeight="1">
      <c r="A6" s="51" t="s">
        <v>54</v>
      </c>
      <c r="B6" s="29" t="s">
        <v>56</v>
      </c>
      <c r="C6" s="29" t="s">
        <v>57</v>
      </c>
      <c r="D6" s="29" t="s">
        <v>58</v>
      </c>
      <c r="E6" s="53" t="s">
        <v>59</v>
      </c>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38"/>
    <col customWidth="1" min="2" max="2" width="18.0"/>
    <col customWidth="1" min="3" max="3" width="35.25"/>
    <col customWidth="1" min="4" max="4" width="32.25"/>
  </cols>
  <sheetData>
    <row r="1">
      <c r="A1" s="4" t="s">
        <v>3</v>
      </c>
      <c r="B1" s="7" t="s">
        <v>5</v>
      </c>
      <c r="C1" s="7" t="s">
        <v>6</v>
      </c>
      <c r="D1" s="13" t="s">
        <v>7</v>
      </c>
    </row>
    <row r="2" ht="159.0" customHeight="1">
      <c r="A2" s="16" t="s">
        <v>11</v>
      </c>
      <c r="B2" s="19" t="s">
        <v>14</v>
      </c>
      <c r="C2" s="21" t="s">
        <v>20</v>
      </c>
      <c r="D2" s="23" t="s">
        <v>24</v>
      </c>
    </row>
    <row r="3" ht="225.0" customHeight="1">
      <c r="A3" s="25" t="s">
        <v>27</v>
      </c>
      <c r="B3" s="27" t="s">
        <v>28</v>
      </c>
      <c r="C3" s="29" t="s">
        <v>31</v>
      </c>
      <c r="D3" s="32" t="s">
        <v>33</v>
      </c>
    </row>
    <row r="5">
      <c r="A5" s="35" t="s">
        <v>37</v>
      </c>
      <c r="B5" s="8"/>
      <c r="C5" s="8"/>
      <c r="D5" s="8"/>
      <c r="E5" s="8"/>
      <c r="F5" s="12"/>
    </row>
    <row r="7">
      <c r="G7" s="38"/>
    </row>
  </sheetData>
  <mergeCells count="1">
    <mergeCell ref="A5:F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25"/>
    <col customWidth="1" min="3" max="3" width="28.0"/>
    <col customWidth="1" min="4" max="4" width="42.88"/>
    <col customWidth="1" min="7" max="7" width="20.88"/>
    <col customWidth="1" min="8" max="8" width="33.75"/>
    <col customWidth="1" min="9" max="9" width="32.0"/>
  </cols>
  <sheetData>
    <row r="1">
      <c r="A1" s="10" t="s">
        <v>79</v>
      </c>
      <c r="B1" s="5"/>
      <c r="C1" s="5"/>
      <c r="D1" s="5"/>
      <c r="E1" s="5"/>
      <c r="F1" s="5"/>
      <c r="G1" s="5"/>
      <c r="H1" s="5"/>
      <c r="I1" s="9"/>
    </row>
    <row r="2">
      <c r="A2" s="17" t="s">
        <v>13</v>
      </c>
      <c r="B2" s="20" t="s">
        <v>82</v>
      </c>
      <c r="C2" s="20" t="s">
        <v>83</v>
      </c>
      <c r="D2" s="20" t="s">
        <v>84</v>
      </c>
      <c r="E2" s="20" t="s">
        <v>85</v>
      </c>
      <c r="F2" s="20" t="s">
        <v>86</v>
      </c>
      <c r="G2" s="20" t="s">
        <v>87</v>
      </c>
      <c r="H2" s="20" t="s">
        <v>89</v>
      </c>
      <c r="I2" s="24" t="s">
        <v>90</v>
      </c>
    </row>
    <row r="3" ht="78.75" customHeight="1">
      <c r="A3" s="77" t="s">
        <v>91</v>
      </c>
      <c r="B3" s="82" t="s">
        <v>100</v>
      </c>
      <c r="C3" s="21" t="s">
        <v>103</v>
      </c>
      <c r="D3" s="21" t="s">
        <v>107</v>
      </c>
      <c r="E3" s="89" t="s">
        <v>111</v>
      </c>
      <c r="F3" s="91" t="s">
        <v>111</v>
      </c>
      <c r="G3" s="21" t="s">
        <v>114</v>
      </c>
      <c r="H3" s="21" t="s">
        <v>115</v>
      </c>
      <c r="I3" s="23" t="s">
        <v>116</v>
      </c>
    </row>
    <row r="4" ht="69.75" customHeight="1">
      <c r="A4" s="94" t="s">
        <v>118</v>
      </c>
      <c r="B4" s="96" t="s">
        <v>120</v>
      </c>
      <c r="C4" s="40" t="s">
        <v>121</v>
      </c>
      <c r="D4" s="40" t="s">
        <v>122</v>
      </c>
      <c r="E4" s="100" t="s">
        <v>123</v>
      </c>
      <c r="F4" s="100" t="s">
        <v>126</v>
      </c>
      <c r="G4" s="40" t="s">
        <v>127</v>
      </c>
      <c r="H4" s="40" t="s">
        <v>128</v>
      </c>
      <c r="I4" s="43" t="s">
        <v>130</v>
      </c>
    </row>
    <row r="5" ht="75.0" customHeight="1">
      <c r="A5" s="103" t="s">
        <v>133</v>
      </c>
      <c r="B5" s="105" t="s">
        <v>135</v>
      </c>
      <c r="C5" s="106" t="s">
        <v>136</v>
      </c>
      <c r="D5" s="106" t="s">
        <v>137</v>
      </c>
      <c r="E5" s="109" t="s">
        <v>111</v>
      </c>
      <c r="F5" s="109" t="s">
        <v>140</v>
      </c>
      <c r="G5" s="106" t="s">
        <v>141</v>
      </c>
      <c r="H5" s="106" t="s">
        <v>143</v>
      </c>
      <c r="I5" s="112" t="s">
        <v>144</v>
      </c>
    </row>
    <row r="6">
      <c r="D6" s="114"/>
    </row>
  </sheetData>
  <mergeCells count="1">
    <mergeCell ref="A1:I1"/>
  </mergeCells>
  <dataValidations>
    <dataValidation type="list" allowBlank="1" showErrorMessage="1" sqref="E3:F5">
      <formula1>"Muy alta,Alta,Media,Baja"</formula1>
    </dataValidation>
    <dataValidation type="list" allowBlank="1" showErrorMessage="1" sqref="B3:B5">
      <formula1>"Error,Defecto,Fallo"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13"/>
    <col customWidth="1" min="2" max="2" width="39.38"/>
    <col customWidth="1" min="3" max="3" width="19.75"/>
    <col customWidth="1" min="4" max="4" width="15.75"/>
    <col customWidth="1" min="6" max="6" width="23.0"/>
    <col customWidth="1" min="7" max="7" width="35.5"/>
  </cols>
  <sheetData>
    <row r="1">
      <c r="A1" s="70" t="s">
        <v>80</v>
      </c>
      <c r="B1" s="71"/>
      <c r="C1" s="71"/>
      <c r="D1" s="71"/>
      <c r="E1" s="71"/>
      <c r="F1" s="71"/>
      <c r="G1" s="73"/>
    </row>
    <row r="2">
      <c r="A2" s="75" t="s">
        <v>13</v>
      </c>
      <c r="B2" s="20" t="s">
        <v>93</v>
      </c>
      <c r="C2" s="20" t="s">
        <v>94</v>
      </c>
      <c r="D2" s="20" t="s">
        <v>95</v>
      </c>
      <c r="E2" s="20" t="s">
        <v>86</v>
      </c>
      <c r="F2" s="20" t="s">
        <v>97</v>
      </c>
      <c r="G2" s="81" t="s">
        <v>99</v>
      </c>
    </row>
    <row r="3" ht="51.75" customHeight="1">
      <c r="A3" s="84" t="s">
        <v>106</v>
      </c>
      <c r="B3" s="85">
        <v>3.0</v>
      </c>
      <c r="C3" s="86">
        <v>1.0</v>
      </c>
      <c r="D3" s="98">
        <f t="shared" ref="D3:D6" si="1">C3/B3</f>
        <v>0.3333333333</v>
      </c>
      <c r="E3" s="82" t="s">
        <v>123</v>
      </c>
      <c r="F3" s="82" t="s">
        <v>124</v>
      </c>
      <c r="G3" s="101" t="s">
        <v>125</v>
      </c>
    </row>
    <row r="4" ht="41.25" customHeight="1">
      <c r="A4" s="102" t="s">
        <v>132</v>
      </c>
      <c r="B4" s="104">
        <v>4.0</v>
      </c>
      <c r="C4" s="99">
        <v>4.0</v>
      </c>
      <c r="D4" s="107">
        <f t="shared" si="1"/>
        <v>1</v>
      </c>
      <c r="E4" s="96" t="s">
        <v>123</v>
      </c>
      <c r="F4" s="96" t="s">
        <v>138</v>
      </c>
      <c r="G4" s="40" t="s">
        <v>139</v>
      </c>
    </row>
    <row r="5" ht="45.75" customHeight="1">
      <c r="A5" s="110" t="s">
        <v>142</v>
      </c>
      <c r="B5" s="113">
        <v>3.0</v>
      </c>
      <c r="C5" s="97">
        <v>2.0</v>
      </c>
      <c r="D5" s="115">
        <f t="shared" si="1"/>
        <v>0.6666666667</v>
      </c>
      <c r="E5" s="117" t="s">
        <v>140</v>
      </c>
      <c r="F5" s="117" t="s">
        <v>138</v>
      </c>
      <c r="G5" s="48" t="s">
        <v>146</v>
      </c>
    </row>
    <row r="6" ht="53.25" customHeight="1">
      <c r="A6" s="110" t="s">
        <v>147</v>
      </c>
      <c r="B6" s="104">
        <v>2.0</v>
      </c>
      <c r="C6" s="99">
        <v>1.0</v>
      </c>
      <c r="D6" s="107">
        <f t="shared" si="1"/>
        <v>0.5</v>
      </c>
      <c r="E6" s="96" t="s">
        <v>140</v>
      </c>
      <c r="F6" s="96" t="s">
        <v>124</v>
      </c>
      <c r="G6" s="120" t="s">
        <v>149</v>
      </c>
    </row>
    <row r="7">
      <c r="A7" s="122" t="s">
        <v>151</v>
      </c>
      <c r="B7" s="126">
        <f>SUM(B3:B6)</f>
        <v>12</v>
      </c>
      <c r="C7" s="128">
        <v>8.0</v>
      </c>
    </row>
    <row r="9">
      <c r="A9" s="130"/>
      <c r="B9" s="130"/>
    </row>
    <row r="10">
      <c r="A10" s="133" t="s">
        <v>159</v>
      </c>
      <c r="B10" s="74"/>
    </row>
    <row r="11">
      <c r="A11" s="135" t="s">
        <v>163</v>
      </c>
      <c r="B11" s="78">
        <v>12.0</v>
      </c>
    </row>
    <row r="12">
      <c r="A12" s="137" t="s">
        <v>165</v>
      </c>
      <c r="B12" s="80">
        <v>8.0</v>
      </c>
    </row>
    <row r="13" ht="34.5" customHeight="1">
      <c r="A13" s="137" t="s">
        <v>166</v>
      </c>
      <c r="B13" s="139" t="s">
        <v>168</v>
      </c>
    </row>
    <row r="14" ht="209.25" customHeight="1">
      <c r="A14" s="137" t="s">
        <v>169</v>
      </c>
      <c r="B14" s="140" t="s">
        <v>170</v>
      </c>
    </row>
    <row r="15" ht="208.5" customHeight="1">
      <c r="A15" s="142" t="s">
        <v>173</v>
      </c>
      <c r="B15" s="144" t="s">
        <v>175</v>
      </c>
    </row>
  </sheetData>
  <mergeCells count="2">
    <mergeCell ref="A1:G1"/>
    <mergeCell ref="A10:B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37.13"/>
    <col customWidth="1" min="3" max="3" width="29.88"/>
    <col customWidth="1" min="4" max="4" width="29.75"/>
    <col customWidth="1" min="5" max="5" width="30.38"/>
  </cols>
  <sheetData>
    <row r="1">
      <c r="A1" s="72" t="s">
        <v>81</v>
      </c>
      <c r="B1" s="74"/>
    </row>
    <row r="2">
      <c r="A2" s="76" t="s">
        <v>88</v>
      </c>
      <c r="B2" s="78" t="s">
        <v>92</v>
      </c>
    </row>
    <row r="3">
      <c r="A3" s="79" t="s">
        <v>96</v>
      </c>
      <c r="B3" s="80" t="s">
        <v>98</v>
      </c>
    </row>
    <row r="4">
      <c r="A4" s="79" t="s">
        <v>101</v>
      </c>
      <c r="B4" s="83" t="s">
        <v>102</v>
      </c>
    </row>
    <row r="5">
      <c r="A5" s="79" t="s">
        <v>104</v>
      </c>
      <c r="B5" s="80" t="s">
        <v>105</v>
      </c>
    </row>
    <row r="6">
      <c r="A6" s="79" t="s">
        <v>108</v>
      </c>
      <c r="B6" s="83">
        <v>12.0</v>
      </c>
    </row>
    <row r="7">
      <c r="A7" s="79" t="s">
        <v>94</v>
      </c>
      <c r="B7" s="80">
        <v>8.0</v>
      </c>
    </row>
    <row r="8">
      <c r="A8" s="79" t="s">
        <v>109</v>
      </c>
      <c r="B8" s="87">
        <v>0.66</v>
      </c>
    </row>
    <row r="9">
      <c r="A9" s="88" t="s">
        <v>110</v>
      </c>
      <c r="B9" s="90" t="s">
        <v>112</v>
      </c>
    </row>
    <row r="11">
      <c r="A11" s="72" t="s">
        <v>113</v>
      </c>
      <c r="B11" s="71"/>
      <c r="C11" s="71"/>
      <c r="D11" s="71"/>
      <c r="E11" s="74"/>
    </row>
    <row r="12">
      <c r="A12" s="92"/>
      <c r="B12" s="93" t="s">
        <v>117</v>
      </c>
      <c r="C12" s="93" t="s">
        <v>118</v>
      </c>
      <c r="D12" s="93" t="s">
        <v>91</v>
      </c>
      <c r="E12" s="95" t="s">
        <v>119</v>
      </c>
    </row>
    <row r="13">
      <c r="A13" s="79" t="s">
        <v>108</v>
      </c>
      <c r="B13" s="97">
        <v>20.0</v>
      </c>
      <c r="C13" s="97">
        <v>25.0</v>
      </c>
      <c r="D13" s="97">
        <v>30.0</v>
      </c>
      <c r="E13" s="83">
        <v>30.0</v>
      </c>
    </row>
    <row r="14">
      <c r="A14" s="79" t="s">
        <v>94</v>
      </c>
      <c r="B14" s="99">
        <v>7.0</v>
      </c>
      <c r="C14" s="99">
        <v>10.0</v>
      </c>
      <c r="D14" s="99">
        <v>6.0</v>
      </c>
      <c r="E14" s="80">
        <v>10.0</v>
      </c>
    </row>
    <row r="15">
      <c r="A15" s="79" t="s">
        <v>110</v>
      </c>
      <c r="B15" s="97">
        <v>4.0</v>
      </c>
      <c r="C15" s="97">
        <v>3.0</v>
      </c>
      <c r="D15" s="97">
        <v>5.0</v>
      </c>
      <c r="E15" s="83">
        <v>7.0</v>
      </c>
    </row>
    <row r="16">
      <c r="A16" s="79" t="s">
        <v>129</v>
      </c>
      <c r="B16" s="99">
        <v>1.0</v>
      </c>
      <c r="C16" s="99">
        <v>1.0</v>
      </c>
      <c r="D16" s="99">
        <v>3.0</v>
      </c>
      <c r="E16" s="80">
        <v>3.0</v>
      </c>
    </row>
    <row r="17">
      <c r="A17" s="79" t="s">
        <v>131</v>
      </c>
      <c r="B17" s="97">
        <v>2.0</v>
      </c>
      <c r="C17" s="97">
        <v>1.0</v>
      </c>
      <c r="D17" s="97">
        <v>1.0</v>
      </c>
      <c r="E17" s="83">
        <v>2.0</v>
      </c>
    </row>
    <row r="18">
      <c r="A18" s="79" t="s">
        <v>134</v>
      </c>
      <c r="B18" s="99">
        <v>1.0</v>
      </c>
      <c r="C18" s="99">
        <v>1.0</v>
      </c>
      <c r="D18" s="99">
        <v>1.0</v>
      </c>
      <c r="E18" s="80">
        <v>2.0</v>
      </c>
    </row>
    <row r="19">
      <c r="A19" s="79" t="s">
        <v>109</v>
      </c>
      <c r="B19" s="108">
        <f t="shared" ref="B19:E19" si="1">B14/B13</f>
        <v>0.35</v>
      </c>
      <c r="C19" s="108">
        <f t="shared" si="1"/>
        <v>0.4</v>
      </c>
      <c r="D19" s="108">
        <f t="shared" si="1"/>
        <v>0.2</v>
      </c>
      <c r="E19" s="111">
        <f t="shared" si="1"/>
        <v>0.3333333333</v>
      </c>
    </row>
    <row r="20">
      <c r="A20" s="79" t="s">
        <v>145</v>
      </c>
      <c r="B20" s="116">
        <f t="shared" ref="B20:E20" si="2">B15/B14</f>
        <v>0.5714285714</v>
      </c>
      <c r="C20" s="116">
        <f t="shared" si="2"/>
        <v>0.3</v>
      </c>
      <c r="D20" s="116">
        <f t="shared" si="2"/>
        <v>0.8333333333</v>
      </c>
      <c r="E20" s="118">
        <f t="shared" si="2"/>
        <v>0.7</v>
      </c>
    </row>
    <row r="21">
      <c r="A21" s="88" t="s">
        <v>148</v>
      </c>
      <c r="B21" s="119">
        <v>1.0</v>
      </c>
      <c r="C21" s="119">
        <v>1.0</v>
      </c>
      <c r="D21" s="119">
        <v>1.0</v>
      </c>
      <c r="E21" s="121">
        <v>1.0</v>
      </c>
    </row>
    <row r="23">
      <c r="A23" s="72" t="s">
        <v>150</v>
      </c>
      <c r="B23" s="74"/>
    </row>
    <row r="24" ht="112.5" customHeight="1">
      <c r="A24" s="123" t="s">
        <v>152</v>
      </c>
      <c r="B24" s="124" t="s">
        <v>153</v>
      </c>
    </row>
    <row r="25" ht="25.5" customHeight="1">
      <c r="A25" s="125" t="s">
        <v>154</v>
      </c>
      <c r="B25" s="127" t="s">
        <v>155</v>
      </c>
    </row>
    <row r="26" ht="25.5" customHeight="1">
      <c r="A26" s="129"/>
      <c r="B26" s="127" t="s">
        <v>156</v>
      </c>
    </row>
    <row r="27" ht="25.5" customHeight="1">
      <c r="A27" s="129"/>
      <c r="B27" s="127" t="s">
        <v>157</v>
      </c>
    </row>
    <row r="28" ht="24.75" customHeight="1">
      <c r="A28" s="129"/>
      <c r="B28" s="127" t="s">
        <v>158</v>
      </c>
    </row>
    <row r="29" ht="34.5" customHeight="1">
      <c r="A29" s="131"/>
      <c r="B29" s="132" t="s">
        <v>160</v>
      </c>
    </row>
    <row r="30" ht="33.75" customHeight="1">
      <c r="A30" s="125" t="s">
        <v>161</v>
      </c>
      <c r="B30" s="134" t="s">
        <v>162</v>
      </c>
    </row>
    <row r="31" ht="31.5" customHeight="1">
      <c r="A31" s="129"/>
      <c r="B31" s="136" t="s">
        <v>164</v>
      </c>
    </row>
    <row r="32" ht="31.5" customHeight="1">
      <c r="A32" s="131"/>
      <c r="B32" s="138" t="s">
        <v>167</v>
      </c>
    </row>
    <row r="33" ht="90.0" customHeight="1">
      <c r="A33" s="123" t="s">
        <v>171</v>
      </c>
      <c r="B33" s="141" t="s">
        <v>172</v>
      </c>
    </row>
    <row r="34" ht="40.5" customHeight="1">
      <c r="A34" s="143" t="s">
        <v>174</v>
      </c>
      <c r="B34" s="145" t="s">
        <v>176</v>
      </c>
    </row>
    <row r="35" ht="84.75" customHeight="1">
      <c r="A35" s="146"/>
      <c r="B35" s="124" t="s">
        <v>177</v>
      </c>
    </row>
  </sheetData>
  <mergeCells count="6">
    <mergeCell ref="A1:B1"/>
    <mergeCell ref="A11:E11"/>
    <mergeCell ref="A23:B23"/>
    <mergeCell ref="A25:A29"/>
    <mergeCell ref="A30:A32"/>
    <mergeCell ref="A34:A35"/>
  </mergeCells>
  <drawing r:id="rId1"/>
</worksheet>
</file>